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Bike 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<sst xmlns="http://schemas.openxmlformats.org/spreadsheetml/2006/main" count="811" uniqueCount="156">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</sst>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right"/>
    </xf>
    <xf numFmtId="58" fontId="0" fillId="0" borderId="0" xfId="0" applyNumberFormat="1"/>
    <xf numFmtId="0" fontId="2" fillId="0" borderId="0" xfId="0" applyFont="1"/>
    <xf numFmtId="0" fontId="3" fillId="0" borderId="0" xfId="0" applyFont="1"/>
    <xf numFmtId="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342265</xdr:colOff>
      <xdr:row>103</xdr:row>
      <xdr:rowOff>56515</xdr:rowOff>
    </xdr:from>
    <xdr:to>
      <xdr:col>6</xdr:col>
      <xdr:colOff>655320</xdr:colOff>
      <xdr:row>116</xdr:row>
      <xdr:rowOff>38735</xdr:rowOff>
    </xdr:to>
    <xdr:sp>
      <xdr:nvSpPr>
        <xdr:cNvPr id="3" name="Text Box 2"/>
        <xdr:cNvSpPr txBox="1"/>
      </xdr:nvSpPr>
      <xdr:spPr>
        <a:xfrm>
          <a:off x="342265" y="19023965"/>
          <a:ext cx="4582795" cy="23761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2400" b="1"/>
            <a:t>Unit_Cost:</a:t>
          </a:r>
          <a:endParaRPr lang="en-US" sz="2400" b="1"/>
        </a:p>
        <a:p>
          <a:pPr algn="l"/>
          <a:r>
            <a:rPr lang="en-US" sz="2400" b="1"/>
            <a:t>Mean: </a:t>
          </a:r>
          <a:r>
            <a:rPr lang="en-US" sz="2400"/>
            <a:t>1064.2045</a:t>
          </a:r>
          <a:endParaRPr lang="en-US" sz="2400"/>
        </a:p>
        <a:p>
          <a:pPr algn="l"/>
          <a:r>
            <a:rPr lang="en-US" sz="2400" b="1"/>
            <a:t>Mode: </a:t>
          </a:r>
          <a:r>
            <a:rPr lang="en-US" sz="2400"/>
            <a:t>1252</a:t>
          </a:r>
          <a:endParaRPr lang="en-US" sz="2400"/>
        </a:p>
        <a:p>
          <a:pPr algn="l"/>
          <a:r>
            <a:rPr lang="en-US" sz="2400" b="1"/>
            <a:t>Median: </a:t>
          </a:r>
          <a:r>
            <a:rPr lang="en-US" sz="2400"/>
            <a:t>1252</a:t>
          </a:r>
          <a:endParaRPr lang="en-US" sz="2400"/>
        </a:p>
        <a:p>
          <a:pPr algn="l"/>
          <a:r>
            <a:rPr lang="en-US" sz="2400" b="1"/>
            <a:t>Standard Deviation: </a:t>
          </a:r>
          <a:r>
            <a:rPr lang="en-US" sz="2400"/>
            <a:t>428.25036</a:t>
          </a:r>
          <a:endParaRPr lang="en-US" sz="3200"/>
        </a:p>
        <a:p>
          <a:pPr algn="l"/>
          <a:endParaRPr lang="en-US" sz="3200"/>
        </a:p>
        <a:p>
          <a:pPr algn="l"/>
          <a:endParaRPr lang="en-US" sz="3200"/>
        </a:p>
      </xdr:txBody>
    </xdr:sp>
    <xdr:clientData/>
  </xdr:twoCellAnchor>
  <xdr:twoCellAnchor>
    <xdr:from>
      <xdr:col>6</xdr:col>
      <xdr:colOff>889635</xdr:colOff>
      <xdr:row>103</xdr:row>
      <xdr:rowOff>123825</xdr:rowOff>
    </xdr:from>
    <xdr:to>
      <xdr:col>10</xdr:col>
      <xdr:colOff>611505</xdr:colOff>
      <xdr:row>115</xdr:row>
      <xdr:rowOff>96520</xdr:rowOff>
    </xdr:to>
    <xdr:sp>
      <xdr:nvSpPr>
        <xdr:cNvPr id="4" name="Text Box 3"/>
        <xdr:cNvSpPr txBox="1"/>
      </xdr:nvSpPr>
      <xdr:spPr>
        <a:xfrm>
          <a:off x="5159375" y="19091275"/>
          <a:ext cx="4191635" cy="21824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400" b="1"/>
            <a:t>Unit_Price:</a:t>
          </a:r>
          <a:endParaRPr lang="en-US" sz="2400" b="1"/>
        </a:p>
        <a:p>
          <a:pPr algn="l"/>
          <a:r>
            <a:rPr lang="en-US" sz="2400" b="1"/>
            <a:t>Mean: </a:t>
          </a:r>
          <a:r>
            <a:rPr lang="en-US" sz="2400"/>
            <a:t>945.65909</a:t>
          </a:r>
          <a:endParaRPr lang="en-US" sz="2400"/>
        </a:p>
        <a:p>
          <a:pPr algn="l"/>
          <a:r>
            <a:rPr lang="en-US" sz="2400" b="1"/>
            <a:t>Mode: </a:t>
          </a:r>
          <a:r>
            <a:rPr lang="en-US" sz="2400"/>
            <a:t>2295</a:t>
          </a:r>
          <a:endParaRPr lang="en-US" sz="2400"/>
        </a:p>
        <a:p>
          <a:pPr algn="l"/>
          <a:r>
            <a:rPr lang="en-US" sz="2400" b="1"/>
            <a:t>Median: </a:t>
          </a:r>
          <a:r>
            <a:rPr lang="en-US" sz="2400">
              <a:sym typeface="+mn-ea"/>
            </a:rPr>
            <a:t>2295</a:t>
          </a:r>
          <a:endParaRPr lang="en-US" sz="2400"/>
        </a:p>
        <a:p>
          <a:pPr algn="l"/>
          <a:r>
            <a:rPr lang="en-US" sz="2400" b="1"/>
            <a:t>Standard Deviation: </a:t>
          </a:r>
          <a:r>
            <a:rPr lang="en-US" sz="2400"/>
            <a:t>776.31192</a:t>
          </a:r>
          <a:endParaRPr lang="en-US" sz="2400"/>
        </a:p>
        <a:p>
          <a:pPr algn="l"/>
          <a:endParaRPr lang="en-US" sz="2400"/>
        </a:p>
        <a:p>
          <a:pPr algn="l"/>
          <a:endParaRPr lang="en-US" sz="2400"/>
        </a:p>
      </xdr:txBody>
    </xdr:sp>
    <xdr:clientData/>
  </xdr:twoCellAnchor>
  <xdr:twoCellAnchor>
    <xdr:from>
      <xdr:col>11</xdr:col>
      <xdr:colOff>547370</xdr:colOff>
      <xdr:row>103</xdr:row>
      <xdr:rowOff>10160</xdr:rowOff>
    </xdr:from>
    <xdr:to>
      <xdr:col>14</xdr:col>
      <xdr:colOff>615950</xdr:colOff>
      <xdr:row>114</xdr:row>
      <xdr:rowOff>52705</xdr:rowOff>
    </xdr:to>
    <xdr:sp>
      <xdr:nvSpPr>
        <xdr:cNvPr id="5" name="Text Box 4"/>
        <xdr:cNvSpPr txBox="1"/>
      </xdr:nvSpPr>
      <xdr:spPr>
        <a:xfrm>
          <a:off x="9915525" y="18977610"/>
          <a:ext cx="3481070" cy="20681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000" b="1"/>
            <a:t>Profit:</a:t>
          </a:r>
          <a:endParaRPr lang="en-US" sz="2000" b="1"/>
        </a:p>
        <a:p>
          <a:pPr algn="l"/>
          <a:r>
            <a:rPr lang="en-US" sz="2000" b="1"/>
            <a:t>Mean: </a:t>
          </a:r>
          <a:r>
            <a:rPr lang="en-US" sz="2000"/>
            <a:t>1858.0455</a:t>
          </a:r>
          <a:endParaRPr lang="en-US" sz="2000"/>
        </a:p>
        <a:p>
          <a:pPr algn="l"/>
          <a:r>
            <a:rPr lang="en-US" sz="2000" b="1">
              <a:sym typeface="+mn-ea"/>
            </a:rPr>
            <a:t>Standard Deviation: </a:t>
          </a:r>
          <a:r>
            <a:rPr lang="en-US" sz="2000"/>
            <a:t>1399.6977</a:t>
          </a:r>
          <a:endParaRPr lang="en-US" sz="2000"/>
        </a:p>
        <a:p>
          <a:pPr algn="l"/>
          <a:r>
            <a:rPr lang="en-US" sz="2000"/>
            <a:t>CV= 75.33</a:t>
          </a:r>
          <a:endParaRPr lang="en-US" sz="2000"/>
        </a:p>
      </xdr:txBody>
    </xdr:sp>
    <xdr:clientData/>
  </xdr:twoCellAnchor>
  <xdr:twoCellAnchor>
    <xdr:from>
      <xdr:col>15</xdr:col>
      <xdr:colOff>650875</xdr:colOff>
      <xdr:row>103</xdr:row>
      <xdr:rowOff>95250</xdr:rowOff>
    </xdr:from>
    <xdr:to>
      <xdr:col>20</xdr:col>
      <xdr:colOff>550545</xdr:colOff>
      <xdr:row>112</xdr:row>
      <xdr:rowOff>40640</xdr:rowOff>
    </xdr:to>
    <xdr:sp>
      <xdr:nvSpPr>
        <xdr:cNvPr id="6" name="Text Box 5"/>
        <xdr:cNvSpPr txBox="1"/>
      </xdr:nvSpPr>
      <xdr:spPr>
        <a:xfrm>
          <a:off x="14159865" y="19062700"/>
          <a:ext cx="3541395" cy="1602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/>
            <a:t>Cost:</a:t>
          </a:r>
          <a:endParaRPr lang="en-US" sz="1800" b="1"/>
        </a:p>
        <a:p>
          <a:pPr algn="l"/>
          <a:r>
            <a:rPr lang="en-US" sz="1800" b="1"/>
            <a:t>Mean: </a:t>
          </a:r>
          <a:r>
            <a:rPr lang="en-US" sz="1800"/>
            <a:t>2390.72727</a:t>
          </a:r>
          <a:endParaRPr lang="en-US" sz="1800"/>
        </a:p>
        <a:p>
          <a:pPr algn="l"/>
          <a:r>
            <a:rPr lang="en-US" sz="1800" b="1">
              <a:sym typeface="+mn-ea"/>
            </a:rPr>
            <a:t>Standard Deviation: </a:t>
          </a:r>
          <a:r>
            <a:rPr lang="en-US" sz="1800"/>
            <a:t>2117.37708</a:t>
          </a:r>
          <a:endParaRPr lang="en-US" sz="1800"/>
        </a:p>
        <a:p>
          <a:pPr algn="l"/>
          <a:r>
            <a:rPr lang="en-US" sz="1800"/>
            <a:t>CV = (sd/mean)*100</a:t>
          </a:r>
          <a:endParaRPr lang="en-US" sz="1800"/>
        </a:p>
        <a:p>
          <a:pPr algn="l"/>
          <a:r>
            <a:rPr lang="en-US" sz="1800" b="1"/>
            <a:t>CV = </a:t>
          </a:r>
          <a:r>
            <a:rPr lang="en-US" sz="1800"/>
            <a:t>88.566</a:t>
          </a:r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</xdr:txBody>
    </xdr:sp>
    <xdr:clientData/>
  </xdr:twoCellAnchor>
  <xdr:twoCellAnchor>
    <xdr:from>
      <xdr:col>0</xdr:col>
      <xdr:colOff>330835</xdr:colOff>
      <xdr:row>117</xdr:row>
      <xdr:rowOff>71755</xdr:rowOff>
    </xdr:from>
    <xdr:to>
      <xdr:col>8</xdr:col>
      <xdr:colOff>499745</xdr:colOff>
      <xdr:row>132</xdr:row>
      <xdr:rowOff>147320</xdr:rowOff>
    </xdr:to>
    <xdr:sp>
      <xdr:nvSpPr>
        <xdr:cNvPr id="7" name="Text Box 6"/>
        <xdr:cNvSpPr txBox="1"/>
      </xdr:nvSpPr>
      <xdr:spPr>
        <a:xfrm>
          <a:off x="330835" y="21617305"/>
          <a:ext cx="6443980" cy="28378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/>
            <a:t>Cost CV</a:t>
          </a:r>
          <a:r>
            <a:rPr lang="en-US" sz="1800"/>
            <a:t>: 88.57%</a:t>
          </a:r>
          <a:endParaRPr lang="en-US" sz="1800"/>
        </a:p>
        <a:p>
          <a:pPr algn="l"/>
          <a:endParaRPr lang="en-US" sz="1800"/>
        </a:p>
        <a:p>
          <a:pPr algn="l"/>
          <a:r>
            <a:rPr lang="en-US" sz="1800" b="1"/>
            <a:t>Profit CV</a:t>
          </a:r>
          <a:r>
            <a:rPr lang="en-US" sz="1800"/>
            <a:t>: 75.33% 	</a:t>
          </a:r>
          <a:endParaRPr lang="en-US" sz="1800"/>
        </a:p>
        <a:p>
          <a:pPr algn="l"/>
          <a:r>
            <a:rPr lang="en-US" sz="1800" b="1"/>
            <a:t>Interpretation:</a:t>
          </a:r>
          <a:r>
            <a:rPr lang="en-US" sz="1800"/>
            <a:t> The Cost has a higher Coefficient of Variation (88.57%) compared to Profit (75.33%).</a:t>
          </a:r>
          <a:endParaRPr lang="en-US" sz="1800"/>
        </a:p>
        <a:p>
          <a:pPr algn="l"/>
          <a:endParaRPr lang="en-US" sz="1800"/>
        </a:p>
        <a:p>
          <a:pPr algn="l"/>
          <a:r>
            <a:rPr lang="en-US" sz="1800"/>
            <a:t>This indicates that Cost is relatively more volatile (variable) than Profit in this dataset.</a:t>
          </a:r>
          <a:endParaRPr lang="en-US" sz="1800"/>
        </a:p>
        <a:p>
          <a:pPr algn="l"/>
          <a:endParaRPr lang="en-US" sz="1800"/>
        </a:p>
        <a:p>
          <a:pPr algn="l"/>
          <a:endParaRPr lang="en-US" sz="1800"/>
        </a:p>
      </xdr:txBody>
    </xdr:sp>
    <xdr:clientData/>
  </xdr:twoCellAnchor>
  <xdr:twoCellAnchor>
    <xdr:from>
      <xdr:col>9</xdr:col>
      <xdr:colOff>744855</xdr:colOff>
      <xdr:row>120</xdr:row>
      <xdr:rowOff>20955</xdr:rowOff>
    </xdr:from>
    <xdr:to>
      <xdr:col>15</xdr:col>
      <xdr:colOff>403860</xdr:colOff>
      <xdr:row>128</xdr:row>
      <xdr:rowOff>144780</xdr:rowOff>
    </xdr:to>
    <xdr:sp>
      <xdr:nvSpPr>
        <xdr:cNvPr id="9" name="Text Box 8"/>
        <xdr:cNvSpPr txBox="1"/>
      </xdr:nvSpPr>
      <xdr:spPr>
        <a:xfrm>
          <a:off x="8097520" y="22118955"/>
          <a:ext cx="5815330" cy="159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800" b="1"/>
            <a:t>Shape of the distribution</a:t>
          </a:r>
          <a:endParaRPr lang="en-US" sz="1600"/>
        </a:p>
        <a:p>
          <a:pPr algn="l"/>
          <a:r>
            <a:rPr lang="en-US" sz="1600"/>
            <a:t>The distribution for Profit is Right-Skewed (Positively Skewed).</a:t>
          </a:r>
          <a:endParaRPr lang="en-US" sz="1600"/>
        </a:p>
        <a:p>
          <a:pPr algn="l"/>
          <a:endParaRPr lang="en-US" sz="1600"/>
        </a:p>
        <a:p>
          <a:pPr algn="l"/>
          <a:r>
            <a:rPr lang="en-US" sz="1600"/>
            <a:t>The Mean is typically greater than the Median (Mean &gt; Median).</a:t>
          </a:r>
          <a:endParaRPr lang="en-US" sz="1600"/>
        </a:p>
      </xdr:txBody>
    </xdr:sp>
    <xdr:clientData/>
  </xdr:twoCellAnchor>
  <xdr:twoCellAnchor>
    <xdr:from>
      <xdr:col>6</xdr:col>
      <xdr:colOff>1176655</xdr:colOff>
      <xdr:row>89</xdr:row>
      <xdr:rowOff>172085</xdr:rowOff>
    </xdr:from>
    <xdr:to>
      <xdr:col>12</xdr:col>
      <xdr:colOff>1724025</xdr:colOff>
      <xdr:row>102</xdr:row>
      <xdr:rowOff>40640</xdr:rowOff>
    </xdr:to>
    <xdr:sp>
      <xdr:nvSpPr>
        <xdr:cNvPr id="2" name="Text Box 1"/>
        <xdr:cNvSpPr txBox="1"/>
      </xdr:nvSpPr>
      <xdr:spPr>
        <a:xfrm>
          <a:off x="5446395" y="16561435"/>
          <a:ext cx="6683375" cy="22625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Probability &amp;Statisticcs</a:t>
          </a:r>
          <a:endParaRPr lang="en-US" sz="1600" b="1"/>
        </a:p>
        <a:p>
          <a:pPr algn="ctr"/>
          <a:r>
            <a:rPr lang="en-US" sz="1600" b="1"/>
            <a:t>Project 1</a:t>
          </a:r>
          <a:endParaRPr lang="en-US" sz="1600" b="1"/>
        </a:p>
        <a:p>
          <a:pPr algn="l"/>
          <a:r>
            <a:rPr lang="en-US" sz="1200" b="1"/>
            <a:t>Group Members:</a:t>
          </a:r>
          <a:endParaRPr lang="en-US" sz="1200" b="1"/>
        </a:p>
        <a:p>
          <a:pPr algn="l"/>
          <a:r>
            <a:rPr lang="en-US" sz="1200"/>
            <a:t>Muhammad Imran Butt: L1F24BSCS0546</a:t>
          </a:r>
          <a:endParaRPr lang="en-US" sz="1200"/>
        </a:p>
        <a:p>
          <a:pPr algn="l"/>
          <a:r>
            <a:rPr lang="en-US" sz="1200"/>
            <a:t>Muhammad Umair Dar: L1F24BSCS0676</a:t>
          </a:r>
          <a:endParaRPr lang="en-US" sz="1200"/>
        </a:p>
        <a:p>
          <a:pPr algn="l"/>
          <a:r>
            <a:rPr lang="en-US" sz="1200"/>
            <a:t>Muhammad Salman Amjad: L1F24BSCS0553</a:t>
          </a:r>
          <a:endParaRPr lang="en-US" sz="1200"/>
        </a:p>
        <a:p>
          <a:pPr algn="l"/>
          <a:r>
            <a:rPr lang="en-US" sz="1200"/>
            <a:t>Saif-ur-Rahman: L1F24BSCS0751</a:t>
          </a:r>
          <a:endParaRPr lang="en-US" sz="1200"/>
        </a:p>
        <a:p>
          <a:pPr algn="l"/>
          <a:r>
            <a:rPr lang="en-US" sz="1200"/>
            <a:t>Hareem ALi: L1F24BSCS0635</a:t>
          </a:r>
          <a:endParaRPr lang="en-US" sz="1200" b="1"/>
        </a:p>
        <a:p>
          <a:pPr algn="l"/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3"/>
  <sheetViews>
    <sheetView tabSelected="1" zoomScale="55" zoomScaleNormal="55" topLeftCell="A89" workbookViewId="0">
      <selection activeCell="R97" sqref="R97"/>
    </sheetView>
  </sheetViews>
  <sheetFormatPr defaultColWidth="9" defaultRowHeight="14.5"/>
  <cols>
    <col min="1" max="1" width="13.2818181818182" customWidth="1"/>
    <col min="2" max="2" width="10.7090909090909" customWidth="1"/>
    <col min="4" max="4" width="10.1363636363636" customWidth="1"/>
    <col min="7" max="7" width="19.7090909090909" style="2" customWidth="1"/>
    <col min="9" max="9" width="15.4272727272727" customWidth="1"/>
    <col min="10" max="10" width="19.8545454545455" customWidth="1"/>
    <col min="12" max="12" width="14.8545454545455" customWidth="1"/>
    <col min="13" max="13" width="25" customWidth="1"/>
    <col min="15" max="15" width="10.4272727272727" customWidth="1"/>
    <col min="16" max="16" width="11" customWidth="1"/>
    <col min="17" max="17" width="9.85454545454546" customWidth="1"/>
    <col min="18" max="18" width="11.4272727272727" customWidth="1"/>
    <col min="19" max="19" width="10.8545454545455" customWidth="1"/>
  </cols>
  <sheetData>
    <row r="1" s="1" customForma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4" t="s">
        <v>19</v>
      </c>
      <c r="B2" s="5">
        <v>44531</v>
      </c>
      <c r="C2">
        <v>1</v>
      </c>
      <c r="D2" t="s">
        <v>20</v>
      </c>
      <c r="E2">
        <v>2021</v>
      </c>
      <c r="F2">
        <v>39</v>
      </c>
      <c r="G2" s="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7" t="s">
        <v>27</v>
      </c>
      <c r="N2">
        <v>4</v>
      </c>
      <c r="O2" s="8">
        <v>1252</v>
      </c>
      <c r="P2" s="8">
        <v>2295</v>
      </c>
      <c r="Q2" s="8">
        <v>4172</v>
      </c>
      <c r="R2" s="8">
        <f>N2*O2</f>
        <v>5008</v>
      </c>
      <c r="S2" s="8">
        <f>N2*P2</f>
        <v>9180</v>
      </c>
    </row>
    <row r="3" spans="1:19">
      <c r="A3" s="4" t="s">
        <v>28</v>
      </c>
      <c r="B3" s="5">
        <v>44531</v>
      </c>
      <c r="C3">
        <v>1</v>
      </c>
      <c r="D3" t="s">
        <v>20</v>
      </c>
      <c r="E3">
        <v>2021</v>
      </c>
      <c r="F3">
        <v>44</v>
      </c>
      <c r="G3" s="2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7" t="s">
        <v>32</v>
      </c>
      <c r="N3">
        <v>1</v>
      </c>
      <c r="O3" s="8">
        <v>1266</v>
      </c>
      <c r="P3" s="8">
        <v>2320</v>
      </c>
      <c r="Q3" s="8">
        <v>1054</v>
      </c>
      <c r="R3" s="8">
        <f t="shared" ref="R3:R66" si="0">N3*O3</f>
        <v>1266</v>
      </c>
      <c r="S3" s="8">
        <f t="shared" ref="S3:S66" si="1">N3*P3</f>
        <v>2320</v>
      </c>
    </row>
    <row r="4" spans="1:19">
      <c r="A4" s="4" t="s">
        <v>33</v>
      </c>
      <c r="B4" s="5">
        <v>44532</v>
      </c>
      <c r="C4">
        <v>2</v>
      </c>
      <c r="D4" t="s">
        <v>20</v>
      </c>
      <c r="E4">
        <v>2021</v>
      </c>
      <c r="F4">
        <v>37</v>
      </c>
      <c r="G4" s="2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7" t="s">
        <v>34</v>
      </c>
      <c r="N4">
        <v>2</v>
      </c>
      <c r="O4" s="8">
        <v>420</v>
      </c>
      <c r="P4" s="8">
        <v>769</v>
      </c>
      <c r="Q4" s="8">
        <v>698</v>
      </c>
      <c r="R4" s="8">
        <f t="shared" si="0"/>
        <v>840</v>
      </c>
      <c r="S4" s="8">
        <f t="shared" si="1"/>
        <v>1538</v>
      </c>
    </row>
    <row r="5" spans="1:19">
      <c r="A5" s="4" t="s">
        <v>35</v>
      </c>
      <c r="B5" s="5">
        <v>44532</v>
      </c>
      <c r="C5">
        <v>2</v>
      </c>
      <c r="D5" t="s">
        <v>20</v>
      </c>
      <c r="E5">
        <v>2021</v>
      </c>
      <c r="F5">
        <v>31</v>
      </c>
      <c r="G5" s="2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7" t="s">
        <v>39</v>
      </c>
      <c r="N5">
        <v>1</v>
      </c>
      <c r="O5" s="8">
        <v>420</v>
      </c>
      <c r="P5" s="8">
        <v>769</v>
      </c>
      <c r="Q5" s="8">
        <v>349</v>
      </c>
      <c r="R5" s="8">
        <f t="shared" si="0"/>
        <v>420</v>
      </c>
      <c r="S5" s="8">
        <f t="shared" si="1"/>
        <v>769</v>
      </c>
    </row>
    <row r="6" spans="1:19">
      <c r="A6" s="4" t="s">
        <v>40</v>
      </c>
      <c r="B6" s="5">
        <v>44533</v>
      </c>
      <c r="C6">
        <v>3</v>
      </c>
      <c r="D6" t="s">
        <v>20</v>
      </c>
      <c r="E6">
        <v>2021</v>
      </c>
      <c r="F6">
        <v>37</v>
      </c>
      <c r="G6" s="2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7" t="s">
        <v>27</v>
      </c>
      <c r="N6">
        <v>2</v>
      </c>
      <c r="O6" s="8">
        <v>1252</v>
      </c>
      <c r="P6" s="8">
        <v>2295</v>
      </c>
      <c r="Q6" s="8">
        <v>2086</v>
      </c>
      <c r="R6" s="8">
        <f t="shared" si="0"/>
        <v>2504</v>
      </c>
      <c r="S6" s="8">
        <f t="shared" si="1"/>
        <v>4590</v>
      </c>
    </row>
    <row r="7" spans="1:19">
      <c r="A7" s="4" t="s">
        <v>41</v>
      </c>
      <c r="B7" s="5">
        <v>44533</v>
      </c>
      <c r="C7">
        <v>3</v>
      </c>
      <c r="D7" t="s">
        <v>20</v>
      </c>
      <c r="E7">
        <v>2021</v>
      </c>
      <c r="F7">
        <v>24</v>
      </c>
      <c r="G7" s="2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7" t="s">
        <v>43</v>
      </c>
      <c r="N7">
        <v>1</v>
      </c>
      <c r="O7" s="8">
        <v>1252</v>
      </c>
      <c r="P7" s="8">
        <v>2295</v>
      </c>
      <c r="Q7" s="8">
        <v>1043</v>
      </c>
      <c r="R7" s="8">
        <f t="shared" si="0"/>
        <v>1252</v>
      </c>
      <c r="S7" s="8">
        <f t="shared" si="1"/>
        <v>2295</v>
      </c>
    </row>
    <row r="8" spans="1:19">
      <c r="A8" s="4" t="s">
        <v>44</v>
      </c>
      <c r="B8" s="5">
        <v>44533</v>
      </c>
      <c r="C8">
        <v>3</v>
      </c>
      <c r="D8" t="s">
        <v>20</v>
      </c>
      <c r="E8">
        <v>2021</v>
      </c>
      <c r="F8">
        <v>37</v>
      </c>
      <c r="G8" s="2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7" t="s">
        <v>27</v>
      </c>
      <c r="N8">
        <v>1</v>
      </c>
      <c r="O8" s="8">
        <v>1252</v>
      </c>
      <c r="P8" s="8">
        <v>2295</v>
      </c>
      <c r="Q8" s="8">
        <v>1043</v>
      </c>
      <c r="R8" s="8">
        <f t="shared" si="0"/>
        <v>1252</v>
      </c>
      <c r="S8" s="8">
        <f t="shared" si="1"/>
        <v>2295</v>
      </c>
    </row>
    <row r="9" spans="1:19">
      <c r="A9" s="4" t="s">
        <v>46</v>
      </c>
      <c r="B9" s="5">
        <v>44534</v>
      </c>
      <c r="C9">
        <v>4</v>
      </c>
      <c r="D9" t="s">
        <v>20</v>
      </c>
      <c r="E9">
        <v>2021</v>
      </c>
      <c r="F9">
        <v>31</v>
      </c>
      <c r="G9" s="2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7" t="s">
        <v>39</v>
      </c>
      <c r="N9">
        <v>4</v>
      </c>
      <c r="O9" s="8">
        <v>420</v>
      </c>
      <c r="P9" s="8">
        <v>769</v>
      </c>
      <c r="Q9" s="8">
        <v>1396</v>
      </c>
      <c r="R9" s="8">
        <f t="shared" si="0"/>
        <v>1680</v>
      </c>
      <c r="S9" s="8">
        <f t="shared" si="1"/>
        <v>3076</v>
      </c>
    </row>
    <row r="10" spans="1:19">
      <c r="A10" s="4" t="s">
        <v>47</v>
      </c>
      <c r="B10" s="5">
        <v>44535</v>
      </c>
      <c r="C10">
        <v>5</v>
      </c>
      <c r="D10" t="s">
        <v>20</v>
      </c>
      <c r="E10">
        <v>2021</v>
      </c>
      <c r="F10">
        <v>39</v>
      </c>
      <c r="G10" s="2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7" t="s">
        <v>27</v>
      </c>
      <c r="N10">
        <v>4</v>
      </c>
      <c r="O10" s="8">
        <v>1252</v>
      </c>
      <c r="P10" s="8">
        <v>2295</v>
      </c>
      <c r="Q10" s="8">
        <v>4172</v>
      </c>
      <c r="R10" s="8">
        <f t="shared" si="0"/>
        <v>5008</v>
      </c>
      <c r="S10" s="8">
        <f t="shared" si="1"/>
        <v>9180</v>
      </c>
    </row>
    <row r="11" spans="1:19">
      <c r="A11" s="4" t="s">
        <v>48</v>
      </c>
      <c r="B11" s="5">
        <v>44535</v>
      </c>
      <c r="C11">
        <v>5</v>
      </c>
      <c r="D11" t="s">
        <v>20</v>
      </c>
      <c r="E11">
        <v>2021</v>
      </c>
      <c r="F11">
        <v>42</v>
      </c>
      <c r="G11" s="2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7" t="s">
        <v>43</v>
      </c>
      <c r="N11">
        <v>4</v>
      </c>
      <c r="O11" s="8">
        <v>1252</v>
      </c>
      <c r="P11" s="8">
        <v>2295</v>
      </c>
      <c r="Q11" s="8">
        <v>4172</v>
      </c>
      <c r="R11" s="8">
        <f t="shared" si="0"/>
        <v>5008</v>
      </c>
      <c r="S11" s="8">
        <f t="shared" si="1"/>
        <v>9180</v>
      </c>
    </row>
    <row r="12" spans="1:19">
      <c r="A12" s="4" t="s">
        <v>51</v>
      </c>
      <c r="B12" s="5">
        <v>44535</v>
      </c>
      <c r="C12">
        <v>5</v>
      </c>
      <c r="D12" t="s">
        <v>20</v>
      </c>
      <c r="E12">
        <v>2021</v>
      </c>
      <c r="F12">
        <v>35</v>
      </c>
      <c r="G12" s="2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7" t="s">
        <v>53</v>
      </c>
      <c r="N12">
        <v>1</v>
      </c>
      <c r="O12" s="8">
        <v>1266</v>
      </c>
      <c r="P12" s="8">
        <v>2320</v>
      </c>
      <c r="Q12" s="8">
        <v>1054</v>
      </c>
      <c r="R12" s="8">
        <f t="shared" si="0"/>
        <v>1266</v>
      </c>
      <c r="S12" s="8">
        <f t="shared" si="1"/>
        <v>2320</v>
      </c>
    </row>
    <row r="13" spans="1:19">
      <c r="A13" s="4" t="s">
        <v>54</v>
      </c>
      <c r="B13" s="5">
        <v>44535</v>
      </c>
      <c r="C13">
        <v>5</v>
      </c>
      <c r="D13" t="s">
        <v>20</v>
      </c>
      <c r="E13">
        <v>2021</v>
      </c>
      <c r="F13">
        <v>37</v>
      </c>
      <c r="G13" s="2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7" t="s">
        <v>27</v>
      </c>
      <c r="N13">
        <v>1</v>
      </c>
      <c r="O13" s="8">
        <v>1252</v>
      </c>
      <c r="P13" s="8">
        <v>2295</v>
      </c>
      <c r="Q13" s="8">
        <v>1043</v>
      </c>
      <c r="R13" s="8">
        <f t="shared" si="0"/>
        <v>1252</v>
      </c>
      <c r="S13" s="8">
        <f t="shared" si="1"/>
        <v>2295</v>
      </c>
    </row>
    <row r="14" spans="1:19">
      <c r="A14" s="4" t="s">
        <v>55</v>
      </c>
      <c r="B14" s="5">
        <v>44536</v>
      </c>
      <c r="C14">
        <v>6</v>
      </c>
      <c r="D14" t="s">
        <v>20</v>
      </c>
      <c r="E14">
        <v>2021</v>
      </c>
      <c r="F14">
        <v>23</v>
      </c>
      <c r="G14" s="2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7" t="s">
        <v>34</v>
      </c>
      <c r="N14">
        <v>3</v>
      </c>
      <c r="O14" s="8">
        <v>420</v>
      </c>
      <c r="P14" s="8">
        <v>769</v>
      </c>
      <c r="Q14" s="8">
        <v>1047</v>
      </c>
      <c r="R14" s="8">
        <f t="shared" si="0"/>
        <v>1260</v>
      </c>
      <c r="S14" s="8">
        <f t="shared" si="1"/>
        <v>2307</v>
      </c>
    </row>
    <row r="15" spans="1:19">
      <c r="A15" s="4" t="s">
        <v>56</v>
      </c>
      <c r="B15" s="5">
        <v>44536</v>
      </c>
      <c r="C15">
        <v>6</v>
      </c>
      <c r="D15" t="s">
        <v>20</v>
      </c>
      <c r="E15">
        <v>2021</v>
      </c>
      <c r="F15">
        <v>27</v>
      </c>
      <c r="G15" s="2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7" t="s">
        <v>27</v>
      </c>
      <c r="N15">
        <v>1</v>
      </c>
      <c r="O15" s="8">
        <v>1252</v>
      </c>
      <c r="P15" s="8">
        <v>2295</v>
      </c>
      <c r="Q15" s="8">
        <v>1043</v>
      </c>
      <c r="R15" s="8">
        <f t="shared" si="0"/>
        <v>1252</v>
      </c>
      <c r="S15" s="8">
        <f t="shared" si="1"/>
        <v>2295</v>
      </c>
    </row>
    <row r="16" spans="1:19">
      <c r="A16" s="4" t="s">
        <v>59</v>
      </c>
      <c r="B16" s="5">
        <v>44536</v>
      </c>
      <c r="C16">
        <v>6</v>
      </c>
      <c r="D16" t="s">
        <v>20</v>
      </c>
      <c r="E16">
        <v>2021</v>
      </c>
      <c r="F16">
        <v>36</v>
      </c>
      <c r="G16" s="2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7" t="s">
        <v>60</v>
      </c>
      <c r="N16">
        <v>1</v>
      </c>
      <c r="O16" s="8">
        <v>1252</v>
      </c>
      <c r="P16" s="8">
        <v>2295</v>
      </c>
      <c r="Q16" s="8">
        <v>1043</v>
      </c>
      <c r="R16" s="8">
        <f t="shared" si="0"/>
        <v>1252</v>
      </c>
      <c r="S16" s="8">
        <f t="shared" si="1"/>
        <v>2295</v>
      </c>
    </row>
    <row r="17" spans="1:19">
      <c r="A17" s="4" t="s">
        <v>61</v>
      </c>
      <c r="B17" s="5">
        <v>44536</v>
      </c>
      <c r="C17">
        <v>6</v>
      </c>
      <c r="D17" t="s">
        <v>20</v>
      </c>
      <c r="E17">
        <v>2021</v>
      </c>
      <c r="F17">
        <v>47</v>
      </c>
      <c r="G17" s="2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7" t="s">
        <v>53</v>
      </c>
      <c r="N17">
        <v>1</v>
      </c>
      <c r="O17" s="8">
        <v>1266</v>
      </c>
      <c r="P17" s="8">
        <v>2320</v>
      </c>
      <c r="Q17" s="8">
        <v>1054</v>
      </c>
      <c r="R17" s="8">
        <f t="shared" si="0"/>
        <v>1266</v>
      </c>
      <c r="S17" s="8">
        <f t="shared" si="1"/>
        <v>2320</v>
      </c>
    </row>
    <row r="18" spans="1:19">
      <c r="A18" s="4" t="s">
        <v>62</v>
      </c>
      <c r="B18" s="5">
        <v>44537</v>
      </c>
      <c r="C18">
        <v>7</v>
      </c>
      <c r="D18" t="s">
        <v>20</v>
      </c>
      <c r="E18">
        <v>2021</v>
      </c>
      <c r="F18">
        <v>30</v>
      </c>
      <c r="G18" s="2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7" t="s">
        <v>63</v>
      </c>
      <c r="N18">
        <v>4</v>
      </c>
      <c r="O18" s="8">
        <v>420</v>
      </c>
      <c r="P18" s="8">
        <v>769</v>
      </c>
      <c r="Q18" s="8">
        <v>1396</v>
      </c>
      <c r="R18" s="8">
        <f t="shared" si="0"/>
        <v>1680</v>
      </c>
      <c r="S18" s="8">
        <f t="shared" si="1"/>
        <v>3076</v>
      </c>
    </row>
    <row r="19" spans="1:19">
      <c r="A19" s="4" t="s">
        <v>64</v>
      </c>
      <c r="B19" s="5">
        <v>44537</v>
      </c>
      <c r="C19">
        <v>7</v>
      </c>
      <c r="D19" t="s">
        <v>20</v>
      </c>
      <c r="E19">
        <v>2021</v>
      </c>
      <c r="F19">
        <v>38</v>
      </c>
      <c r="G19" s="2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7" t="s">
        <v>32</v>
      </c>
      <c r="N19">
        <v>2</v>
      </c>
      <c r="O19" s="8">
        <v>1266</v>
      </c>
      <c r="P19" s="8">
        <v>2320</v>
      </c>
      <c r="Q19" s="8">
        <v>2108</v>
      </c>
      <c r="R19" s="8">
        <f t="shared" si="0"/>
        <v>2532</v>
      </c>
      <c r="S19" s="8">
        <f t="shared" si="1"/>
        <v>4640</v>
      </c>
    </row>
    <row r="20" spans="1:19">
      <c r="A20" s="4" t="s">
        <v>65</v>
      </c>
      <c r="B20" s="5">
        <v>44538</v>
      </c>
      <c r="C20">
        <v>8</v>
      </c>
      <c r="D20" t="s">
        <v>20</v>
      </c>
      <c r="E20">
        <v>2021</v>
      </c>
      <c r="F20">
        <v>19</v>
      </c>
      <c r="G20" s="2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7" t="s">
        <v>66</v>
      </c>
      <c r="N20">
        <v>4</v>
      </c>
      <c r="O20" s="8">
        <v>308</v>
      </c>
      <c r="P20" s="8">
        <v>565</v>
      </c>
      <c r="Q20" s="8">
        <v>1028</v>
      </c>
      <c r="R20" s="8">
        <f t="shared" si="0"/>
        <v>1232</v>
      </c>
      <c r="S20" s="8">
        <f t="shared" si="1"/>
        <v>2260</v>
      </c>
    </row>
    <row r="21" spans="1:19">
      <c r="A21" s="4" t="s">
        <v>67</v>
      </c>
      <c r="B21" s="5">
        <v>44538</v>
      </c>
      <c r="C21">
        <v>8</v>
      </c>
      <c r="D21" t="s">
        <v>20</v>
      </c>
      <c r="E21">
        <v>2021</v>
      </c>
      <c r="F21">
        <v>30</v>
      </c>
      <c r="G21" s="2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7" t="s">
        <v>53</v>
      </c>
      <c r="N21">
        <v>4</v>
      </c>
      <c r="O21" s="8">
        <v>1266</v>
      </c>
      <c r="P21" s="8">
        <v>2320</v>
      </c>
      <c r="Q21" s="8">
        <v>4216</v>
      </c>
      <c r="R21" s="8">
        <f t="shared" si="0"/>
        <v>5064</v>
      </c>
      <c r="S21" s="8">
        <f t="shared" si="1"/>
        <v>9280</v>
      </c>
    </row>
    <row r="22" spans="1:19">
      <c r="A22" s="4" t="s">
        <v>68</v>
      </c>
      <c r="B22" s="5">
        <v>44538</v>
      </c>
      <c r="C22">
        <v>8</v>
      </c>
      <c r="D22" t="s">
        <v>20</v>
      </c>
      <c r="E22">
        <v>2021</v>
      </c>
      <c r="F22">
        <v>39</v>
      </c>
      <c r="G22" s="2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7" t="s">
        <v>70</v>
      </c>
      <c r="N22">
        <v>2</v>
      </c>
      <c r="O22" s="8">
        <v>1252</v>
      </c>
      <c r="P22" s="8">
        <v>2295</v>
      </c>
      <c r="Q22" s="8">
        <v>2086</v>
      </c>
      <c r="R22" s="8">
        <f t="shared" si="0"/>
        <v>2504</v>
      </c>
      <c r="S22" s="8">
        <f t="shared" si="1"/>
        <v>4590</v>
      </c>
    </row>
    <row r="23" spans="1:19">
      <c r="A23" s="4" t="s">
        <v>71</v>
      </c>
      <c r="B23" s="5">
        <v>44538</v>
      </c>
      <c r="C23">
        <v>8</v>
      </c>
      <c r="D23" t="s">
        <v>20</v>
      </c>
      <c r="E23">
        <v>2021</v>
      </c>
      <c r="F23">
        <v>35</v>
      </c>
      <c r="G23" s="2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7" t="s">
        <v>70</v>
      </c>
      <c r="N23">
        <v>1</v>
      </c>
      <c r="O23" s="8">
        <v>295</v>
      </c>
      <c r="P23" s="8">
        <v>540</v>
      </c>
      <c r="Q23" s="8">
        <v>245</v>
      </c>
      <c r="R23" s="8">
        <f t="shared" si="0"/>
        <v>295</v>
      </c>
      <c r="S23" s="8">
        <f t="shared" si="1"/>
        <v>540</v>
      </c>
    </row>
    <row r="24" spans="1:19">
      <c r="A24" s="4" t="s">
        <v>72</v>
      </c>
      <c r="B24" s="5">
        <v>44539</v>
      </c>
      <c r="C24">
        <v>9</v>
      </c>
      <c r="D24" t="s">
        <v>20</v>
      </c>
      <c r="E24">
        <v>2021</v>
      </c>
      <c r="F24">
        <v>33</v>
      </c>
      <c r="G24" s="2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7" t="s">
        <v>74</v>
      </c>
      <c r="N24">
        <v>2</v>
      </c>
      <c r="O24" s="8">
        <v>1898</v>
      </c>
      <c r="P24" s="8">
        <v>3375</v>
      </c>
      <c r="Q24" s="8">
        <v>2954</v>
      </c>
      <c r="R24" s="8">
        <f t="shared" si="0"/>
        <v>3796</v>
      </c>
      <c r="S24" s="8">
        <f t="shared" si="1"/>
        <v>6750</v>
      </c>
    </row>
    <row r="25" spans="1:19">
      <c r="A25" s="4" t="s">
        <v>75</v>
      </c>
      <c r="B25" s="5">
        <v>44539</v>
      </c>
      <c r="C25">
        <v>9</v>
      </c>
      <c r="D25" t="s">
        <v>20</v>
      </c>
      <c r="E25">
        <v>2021</v>
      </c>
      <c r="F25">
        <v>41</v>
      </c>
      <c r="G25" s="2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7" t="s">
        <v>32</v>
      </c>
      <c r="N25">
        <v>1</v>
      </c>
      <c r="O25" s="8">
        <v>1266</v>
      </c>
      <c r="P25" s="8">
        <v>2320</v>
      </c>
      <c r="Q25" s="8">
        <v>1054</v>
      </c>
      <c r="R25" s="8">
        <f t="shared" si="0"/>
        <v>1266</v>
      </c>
      <c r="S25" s="8">
        <f t="shared" si="1"/>
        <v>2320</v>
      </c>
    </row>
    <row r="26" spans="1:19">
      <c r="A26" s="4" t="s">
        <v>77</v>
      </c>
      <c r="B26" s="5">
        <v>44540</v>
      </c>
      <c r="C26">
        <v>10</v>
      </c>
      <c r="D26" t="s">
        <v>20</v>
      </c>
      <c r="E26">
        <v>2021</v>
      </c>
      <c r="F26">
        <v>34</v>
      </c>
      <c r="G26" s="2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7" t="s">
        <v>60</v>
      </c>
      <c r="N26">
        <v>2</v>
      </c>
      <c r="O26" s="8">
        <v>1252</v>
      </c>
      <c r="P26" s="8">
        <v>2295</v>
      </c>
      <c r="Q26" s="8">
        <v>2086</v>
      </c>
      <c r="R26" s="8">
        <f t="shared" si="0"/>
        <v>2504</v>
      </c>
      <c r="S26" s="8">
        <f t="shared" si="1"/>
        <v>4590</v>
      </c>
    </row>
    <row r="27" spans="1:19">
      <c r="A27" s="4" t="s">
        <v>78</v>
      </c>
      <c r="B27" s="5">
        <v>44540</v>
      </c>
      <c r="C27">
        <v>10</v>
      </c>
      <c r="D27" t="s">
        <v>20</v>
      </c>
      <c r="E27">
        <v>2021</v>
      </c>
      <c r="F27">
        <v>40</v>
      </c>
      <c r="G27" s="2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7" t="s">
        <v>60</v>
      </c>
      <c r="N27">
        <v>2</v>
      </c>
      <c r="O27" s="8">
        <v>1252</v>
      </c>
      <c r="P27" s="8">
        <v>2295</v>
      </c>
      <c r="Q27" s="8">
        <v>2086</v>
      </c>
      <c r="R27" s="8">
        <f t="shared" si="0"/>
        <v>2504</v>
      </c>
      <c r="S27" s="8">
        <f t="shared" si="1"/>
        <v>4590</v>
      </c>
    </row>
    <row r="28" spans="1:19">
      <c r="A28" s="4" t="s">
        <v>79</v>
      </c>
      <c r="B28" s="5">
        <v>44540</v>
      </c>
      <c r="C28">
        <v>10</v>
      </c>
      <c r="D28" t="s">
        <v>20</v>
      </c>
      <c r="E28">
        <v>2021</v>
      </c>
      <c r="F28">
        <v>26</v>
      </c>
      <c r="G28" s="2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7" t="s">
        <v>43</v>
      </c>
      <c r="N28">
        <v>1</v>
      </c>
      <c r="O28" s="8">
        <v>1252</v>
      </c>
      <c r="P28" s="8">
        <v>2295</v>
      </c>
      <c r="Q28" s="8">
        <v>1043</v>
      </c>
      <c r="R28" s="8">
        <f t="shared" si="0"/>
        <v>1252</v>
      </c>
      <c r="S28" s="8">
        <f t="shared" si="1"/>
        <v>2295</v>
      </c>
    </row>
    <row r="29" spans="1:19">
      <c r="A29" s="4" t="s">
        <v>80</v>
      </c>
      <c r="B29" s="5">
        <v>44540</v>
      </c>
      <c r="C29">
        <v>10</v>
      </c>
      <c r="D29" t="s">
        <v>20</v>
      </c>
      <c r="E29">
        <v>2021</v>
      </c>
      <c r="F29">
        <v>34</v>
      </c>
      <c r="G29" s="2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7" t="s">
        <v>81</v>
      </c>
      <c r="N29">
        <v>1</v>
      </c>
      <c r="O29" s="8">
        <v>295</v>
      </c>
      <c r="P29" s="8">
        <v>540</v>
      </c>
      <c r="Q29" s="8">
        <v>245</v>
      </c>
      <c r="R29" s="8">
        <f t="shared" si="0"/>
        <v>295</v>
      </c>
      <c r="S29" s="8">
        <f t="shared" si="1"/>
        <v>540</v>
      </c>
    </row>
    <row r="30" spans="1:19">
      <c r="A30" s="4" t="s">
        <v>82</v>
      </c>
      <c r="B30" s="5">
        <v>44540</v>
      </c>
      <c r="C30">
        <v>10</v>
      </c>
      <c r="D30" t="s">
        <v>20</v>
      </c>
      <c r="E30">
        <v>2021</v>
      </c>
      <c r="F30">
        <v>34</v>
      </c>
      <c r="G30" s="2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7" t="s">
        <v>83</v>
      </c>
      <c r="N30">
        <v>1</v>
      </c>
      <c r="O30" s="8">
        <v>1912</v>
      </c>
      <c r="P30" s="8">
        <v>3400</v>
      </c>
      <c r="Q30" s="8">
        <v>1488</v>
      </c>
      <c r="R30" s="8">
        <f t="shared" si="0"/>
        <v>1912</v>
      </c>
      <c r="S30" s="8">
        <f t="shared" si="1"/>
        <v>3400</v>
      </c>
    </row>
    <row r="31" spans="1:19">
      <c r="A31" s="4" t="s">
        <v>84</v>
      </c>
      <c r="B31" s="5">
        <v>44540</v>
      </c>
      <c r="C31">
        <v>10</v>
      </c>
      <c r="D31" t="s">
        <v>20</v>
      </c>
      <c r="E31">
        <v>2021</v>
      </c>
      <c r="F31">
        <v>38</v>
      </c>
      <c r="G31" s="2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7" t="s">
        <v>43</v>
      </c>
      <c r="N31">
        <v>1</v>
      </c>
      <c r="O31" s="8">
        <v>1252</v>
      </c>
      <c r="P31" s="8">
        <v>2295</v>
      </c>
      <c r="Q31" s="8">
        <v>1043</v>
      </c>
      <c r="R31" s="8">
        <f t="shared" si="0"/>
        <v>1252</v>
      </c>
      <c r="S31" s="8">
        <f t="shared" si="1"/>
        <v>2295</v>
      </c>
    </row>
    <row r="32" spans="1:19">
      <c r="A32" s="4" t="s">
        <v>85</v>
      </c>
      <c r="B32" s="5">
        <v>44541</v>
      </c>
      <c r="C32">
        <v>11</v>
      </c>
      <c r="D32" t="s">
        <v>20</v>
      </c>
      <c r="E32">
        <v>2021</v>
      </c>
      <c r="F32">
        <v>24</v>
      </c>
      <c r="G32" s="2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7" t="s">
        <v>43</v>
      </c>
      <c r="N32">
        <v>3</v>
      </c>
      <c r="O32" s="8">
        <v>1252</v>
      </c>
      <c r="P32" s="8">
        <v>2295</v>
      </c>
      <c r="Q32" s="8">
        <v>3129</v>
      </c>
      <c r="R32" s="8">
        <f t="shared" si="0"/>
        <v>3756</v>
      </c>
      <c r="S32" s="8">
        <f t="shared" si="1"/>
        <v>6885</v>
      </c>
    </row>
    <row r="33" spans="1:19">
      <c r="A33" s="4" t="s">
        <v>88</v>
      </c>
      <c r="B33" s="5">
        <v>44541</v>
      </c>
      <c r="C33">
        <v>11</v>
      </c>
      <c r="D33" t="s">
        <v>20</v>
      </c>
      <c r="E33">
        <v>2021</v>
      </c>
      <c r="F33">
        <v>41</v>
      </c>
      <c r="G33" s="2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7" t="s">
        <v>63</v>
      </c>
      <c r="N33">
        <v>2</v>
      </c>
      <c r="O33" s="8">
        <v>420</v>
      </c>
      <c r="P33" s="8">
        <v>769</v>
      </c>
      <c r="Q33" s="8">
        <v>698</v>
      </c>
      <c r="R33" s="8">
        <f t="shared" si="0"/>
        <v>840</v>
      </c>
      <c r="S33" s="8">
        <f t="shared" si="1"/>
        <v>1538</v>
      </c>
    </row>
    <row r="34" spans="1:19">
      <c r="A34" s="4" t="s">
        <v>89</v>
      </c>
      <c r="B34" s="5">
        <v>44541</v>
      </c>
      <c r="C34">
        <v>11</v>
      </c>
      <c r="D34" t="s">
        <v>20</v>
      </c>
      <c r="E34">
        <v>2021</v>
      </c>
      <c r="F34">
        <v>27</v>
      </c>
      <c r="G34" s="2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7" t="s">
        <v>27</v>
      </c>
      <c r="N34">
        <v>1</v>
      </c>
      <c r="O34" s="8">
        <v>1252</v>
      </c>
      <c r="P34" s="8">
        <v>2295</v>
      </c>
      <c r="Q34" s="8">
        <v>1043</v>
      </c>
      <c r="R34" s="8">
        <f t="shared" si="0"/>
        <v>1252</v>
      </c>
      <c r="S34" s="8">
        <f t="shared" si="1"/>
        <v>2295</v>
      </c>
    </row>
    <row r="35" spans="1:19">
      <c r="A35" s="4" t="s">
        <v>90</v>
      </c>
      <c r="B35" s="5">
        <v>44541</v>
      </c>
      <c r="C35">
        <v>11</v>
      </c>
      <c r="D35" t="s">
        <v>20</v>
      </c>
      <c r="E35">
        <v>2021</v>
      </c>
      <c r="F35">
        <v>37</v>
      </c>
      <c r="G35" s="2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7" t="s">
        <v>34</v>
      </c>
      <c r="N35">
        <v>1</v>
      </c>
      <c r="O35" s="8">
        <v>420</v>
      </c>
      <c r="P35" s="8">
        <v>769</v>
      </c>
      <c r="Q35" s="8">
        <v>349</v>
      </c>
      <c r="R35" s="8">
        <f t="shared" si="0"/>
        <v>420</v>
      </c>
      <c r="S35" s="8">
        <f t="shared" si="1"/>
        <v>769</v>
      </c>
    </row>
    <row r="36" spans="1:19">
      <c r="A36" s="4" t="s">
        <v>91</v>
      </c>
      <c r="B36" s="5">
        <v>44541</v>
      </c>
      <c r="C36">
        <v>11</v>
      </c>
      <c r="D36" t="s">
        <v>20</v>
      </c>
      <c r="E36">
        <v>2021</v>
      </c>
      <c r="F36">
        <v>38</v>
      </c>
      <c r="G36" s="2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7" t="s">
        <v>53</v>
      </c>
      <c r="N36">
        <v>1</v>
      </c>
      <c r="O36" s="8">
        <v>1266</v>
      </c>
      <c r="P36" s="8">
        <v>2320</v>
      </c>
      <c r="Q36" s="8">
        <v>1054</v>
      </c>
      <c r="R36" s="8">
        <f t="shared" si="0"/>
        <v>1266</v>
      </c>
      <c r="S36" s="8">
        <f t="shared" si="1"/>
        <v>2320</v>
      </c>
    </row>
    <row r="37" spans="1:19">
      <c r="A37" s="4" t="s">
        <v>92</v>
      </c>
      <c r="B37" s="5">
        <v>44542</v>
      </c>
      <c r="C37">
        <v>12</v>
      </c>
      <c r="D37" t="s">
        <v>20</v>
      </c>
      <c r="E37">
        <v>2021</v>
      </c>
      <c r="F37">
        <v>36</v>
      </c>
      <c r="G37" s="2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7" t="s">
        <v>32</v>
      </c>
      <c r="N37">
        <v>4</v>
      </c>
      <c r="O37" s="8">
        <v>1266</v>
      </c>
      <c r="P37" s="8">
        <v>2320</v>
      </c>
      <c r="Q37" s="8">
        <v>4216</v>
      </c>
      <c r="R37" s="8">
        <f t="shared" si="0"/>
        <v>5064</v>
      </c>
      <c r="S37" s="8">
        <f t="shared" si="1"/>
        <v>9280</v>
      </c>
    </row>
    <row r="38" spans="1:19">
      <c r="A38" s="4" t="s">
        <v>93</v>
      </c>
      <c r="B38" s="5">
        <v>44542</v>
      </c>
      <c r="C38">
        <v>12</v>
      </c>
      <c r="D38" t="s">
        <v>20</v>
      </c>
      <c r="E38">
        <v>2021</v>
      </c>
      <c r="F38">
        <v>37</v>
      </c>
      <c r="G38" s="2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7" t="s">
        <v>34</v>
      </c>
      <c r="N38">
        <v>4</v>
      </c>
      <c r="O38" s="8">
        <v>420</v>
      </c>
      <c r="P38" s="8">
        <v>769</v>
      </c>
      <c r="Q38" s="8">
        <v>1396</v>
      </c>
      <c r="R38" s="8">
        <f t="shared" si="0"/>
        <v>1680</v>
      </c>
      <c r="S38" s="8">
        <f t="shared" si="1"/>
        <v>3076</v>
      </c>
    </row>
    <row r="39" spans="1:19">
      <c r="A39" s="4" t="s">
        <v>94</v>
      </c>
      <c r="B39" s="5">
        <v>44542</v>
      </c>
      <c r="C39">
        <v>12</v>
      </c>
      <c r="D39" t="s">
        <v>20</v>
      </c>
      <c r="E39">
        <v>2021</v>
      </c>
      <c r="F39">
        <v>34</v>
      </c>
      <c r="G39" s="2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7" t="s">
        <v>43</v>
      </c>
      <c r="N39">
        <v>2</v>
      </c>
      <c r="O39" s="8">
        <v>1252</v>
      </c>
      <c r="P39" s="8">
        <v>2295</v>
      </c>
      <c r="Q39" s="8">
        <v>2086</v>
      </c>
      <c r="R39" s="8">
        <f t="shared" si="0"/>
        <v>2504</v>
      </c>
      <c r="S39" s="8">
        <f t="shared" si="1"/>
        <v>4590</v>
      </c>
    </row>
    <row r="40" spans="1:19">
      <c r="A40" s="4" t="s">
        <v>95</v>
      </c>
      <c r="B40" s="5">
        <v>44542</v>
      </c>
      <c r="C40">
        <v>12</v>
      </c>
      <c r="D40" t="s">
        <v>20</v>
      </c>
      <c r="E40">
        <v>2021</v>
      </c>
      <c r="F40">
        <v>35</v>
      </c>
      <c r="G40" s="2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7" t="s">
        <v>32</v>
      </c>
      <c r="N40">
        <v>1</v>
      </c>
      <c r="O40" s="8">
        <v>1266</v>
      </c>
      <c r="P40" s="8">
        <v>2320</v>
      </c>
      <c r="Q40" s="8">
        <v>1054</v>
      </c>
      <c r="R40" s="8">
        <f t="shared" si="0"/>
        <v>1266</v>
      </c>
      <c r="S40" s="8">
        <f t="shared" si="1"/>
        <v>2320</v>
      </c>
    </row>
    <row r="41" spans="1:19">
      <c r="A41" s="4" t="s">
        <v>96</v>
      </c>
      <c r="B41" s="5">
        <v>44542</v>
      </c>
      <c r="C41">
        <v>12</v>
      </c>
      <c r="D41" t="s">
        <v>20</v>
      </c>
      <c r="E41">
        <v>2021</v>
      </c>
      <c r="F41">
        <v>38</v>
      </c>
      <c r="G41" s="2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7" t="s">
        <v>32</v>
      </c>
      <c r="N41">
        <v>1</v>
      </c>
      <c r="O41" s="8">
        <v>1266</v>
      </c>
      <c r="P41" s="8">
        <v>2320</v>
      </c>
      <c r="Q41" s="8">
        <v>1054</v>
      </c>
      <c r="R41" s="8">
        <f t="shared" si="0"/>
        <v>1266</v>
      </c>
      <c r="S41" s="8">
        <f t="shared" si="1"/>
        <v>2320</v>
      </c>
    </row>
    <row r="42" spans="1:19">
      <c r="A42" s="4" t="s">
        <v>97</v>
      </c>
      <c r="B42" s="5">
        <v>44543</v>
      </c>
      <c r="C42">
        <v>13</v>
      </c>
      <c r="D42" t="s">
        <v>20</v>
      </c>
      <c r="E42">
        <v>2021</v>
      </c>
      <c r="F42">
        <v>32</v>
      </c>
      <c r="G42" s="2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7" t="s">
        <v>32</v>
      </c>
      <c r="N42">
        <v>3</v>
      </c>
      <c r="O42" s="8">
        <v>1266</v>
      </c>
      <c r="P42" s="8">
        <v>2320</v>
      </c>
      <c r="Q42" s="8">
        <v>3162</v>
      </c>
      <c r="R42" s="8">
        <f t="shared" si="0"/>
        <v>3798</v>
      </c>
      <c r="S42" s="8">
        <f t="shared" si="1"/>
        <v>6960</v>
      </c>
    </row>
    <row r="43" spans="1:19">
      <c r="A43" s="4" t="s">
        <v>98</v>
      </c>
      <c r="B43" s="5">
        <v>44543</v>
      </c>
      <c r="C43">
        <v>13</v>
      </c>
      <c r="D43" t="s">
        <v>20</v>
      </c>
      <c r="E43">
        <v>2021</v>
      </c>
      <c r="F43">
        <v>40</v>
      </c>
      <c r="G43" s="2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7" t="s">
        <v>99</v>
      </c>
      <c r="N43">
        <v>1</v>
      </c>
      <c r="O43" s="8">
        <v>308</v>
      </c>
      <c r="P43" s="8">
        <v>565</v>
      </c>
      <c r="Q43" s="8">
        <v>257</v>
      </c>
      <c r="R43" s="8">
        <f t="shared" si="0"/>
        <v>308</v>
      </c>
      <c r="S43" s="8">
        <f t="shared" si="1"/>
        <v>565</v>
      </c>
    </row>
    <row r="44" spans="1:19">
      <c r="A44" s="4" t="s">
        <v>100</v>
      </c>
      <c r="B44" s="5">
        <v>44543</v>
      </c>
      <c r="C44">
        <v>13</v>
      </c>
      <c r="D44" t="s">
        <v>20</v>
      </c>
      <c r="E44">
        <v>2021</v>
      </c>
      <c r="F44">
        <v>44</v>
      </c>
      <c r="G44" s="2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7" t="s">
        <v>43</v>
      </c>
      <c r="N44">
        <v>1</v>
      </c>
      <c r="O44" s="8">
        <v>1252</v>
      </c>
      <c r="P44" s="8">
        <v>2295</v>
      </c>
      <c r="Q44" s="8">
        <v>1043</v>
      </c>
      <c r="R44" s="8">
        <f t="shared" si="0"/>
        <v>1252</v>
      </c>
      <c r="S44" s="8">
        <f t="shared" si="1"/>
        <v>2295</v>
      </c>
    </row>
    <row r="45" spans="1:19">
      <c r="A45" s="4" t="s">
        <v>101</v>
      </c>
      <c r="B45" s="5">
        <v>44543</v>
      </c>
      <c r="C45">
        <v>13</v>
      </c>
      <c r="D45" t="s">
        <v>20</v>
      </c>
      <c r="E45">
        <v>2021</v>
      </c>
      <c r="F45">
        <v>49</v>
      </c>
      <c r="G45" s="2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7" t="s">
        <v>43</v>
      </c>
      <c r="N45">
        <v>1</v>
      </c>
      <c r="O45" s="8">
        <v>1252</v>
      </c>
      <c r="P45" s="8">
        <v>2295</v>
      </c>
      <c r="Q45" s="8">
        <v>1043</v>
      </c>
      <c r="R45" s="8">
        <f t="shared" si="0"/>
        <v>1252</v>
      </c>
      <c r="S45" s="8">
        <f t="shared" si="1"/>
        <v>2295</v>
      </c>
    </row>
    <row r="46" spans="1:19">
      <c r="A46" s="4" t="s">
        <v>102</v>
      </c>
      <c r="B46" s="5">
        <v>44544</v>
      </c>
      <c r="C46">
        <v>14</v>
      </c>
      <c r="D46" t="s">
        <v>20</v>
      </c>
      <c r="E46">
        <v>2021</v>
      </c>
      <c r="F46">
        <v>30</v>
      </c>
      <c r="G46" s="2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7" t="s">
        <v>53</v>
      </c>
      <c r="N46">
        <v>2</v>
      </c>
      <c r="O46" s="8">
        <v>1266</v>
      </c>
      <c r="P46" s="8">
        <v>2320</v>
      </c>
      <c r="Q46" s="8">
        <v>2108</v>
      </c>
      <c r="R46" s="8">
        <f t="shared" si="0"/>
        <v>2532</v>
      </c>
      <c r="S46" s="8">
        <f t="shared" si="1"/>
        <v>4640</v>
      </c>
    </row>
    <row r="47" spans="1:19">
      <c r="A47" s="4" t="s">
        <v>103</v>
      </c>
      <c r="B47" s="5">
        <v>44544</v>
      </c>
      <c r="C47">
        <v>14</v>
      </c>
      <c r="D47" t="s">
        <v>20</v>
      </c>
      <c r="E47">
        <v>2021</v>
      </c>
      <c r="F47">
        <v>32</v>
      </c>
      <c r="G47" s="2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7" t="s">
        <v>27</v>
      </c>
      <c r="N47">
        <v>1</v>
      </c>
      <c r="O47" s="8">
        <v>1252</v>
      </c>
      <c r="P47" s="8">
        <v>2295</v>
      </c>
      <c r="Q47" s="8">
        <v>1043</v>
      </c>
      <c r="R47" s="8">
        <f t="shared" si="0"/>
        <v>1252</v>
      </c>
      <c r="S47" s="8">
        <f t="shared" si="1"/>
        <v>2295</v>
      </c>
    </row>
    <row r="48" spans="1:19">
      <c r="A48" s="4" t="s">
        <v>104</v>
      </c>
      <c r="B48" s="5">
        <v>44544</v>
      </c>
      <c r="C48">
        <v>14</v>
      </c>
      <c r="D48" t="s">
        <v>20</v>
      </c>
      <c r="E48">
        <v>2021</v>
      </c>
      <c r="F48">
        <v>32</v>
      </c>
      <c r="G48" s="2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7" t="s">
        <v>34</v>
      </c>
      <c r="N48">
        <v>1</v>
      </c>
      <c r="O48" s="8">
        <v>420</v>
      </c>
      <c r="P48" s="8">
        <v>769</v>
      </c>
      <c r="Q48" s="8">
        <v>349</v>
      </c>
      <c r="R48" s="8">
        <f t="shared" si="0"/>
        <v>420</v>
      </c>
      <c r="S48" s="8">
        <f t="shared" si="1"/>
        <v>769</v>
      </c>
    </row>
    <row r="49" spans="1:19">
      <c r="A49" s="4" t="s">
        <v>105</v>
      </c>
      <c r="B49" s="5">
        <v>44545</v>
      </c>
      <c r="C49">
        <v>15</v>
      </c>
      <c r="D49" t="s">
        <v>20</v>
      </c>
      <c r="E49">
        <v>2021</v>
      </c>
      <c r="F49">
        <v>29</v>
      </c>
      <c r="G49" s="2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7" t="s">
        <v>32</v>
      </c>
      <c r="N49">
        <v>1</v>
      </c>
      <c r="O49" s="8">
        <v>1266</v>
      </c>
      <c r="P49" s="8">
        <v>2320</v>
      </c>
      <c r="Q49" s="8">
        <v>1054</v>
      </c>
      <c r="R49" s="8">
        <f t="shared" si="0"/>
        <v>1266</v>
      </c>
      <c r="S49" s="8">
        <f t="shared" si="1"/>
        <v>2320</v>
      </c>
    </row>
    <row r="50" spans="1:19">
      <c r="A50" s="4" t="s">
        <v>106</v>
      </c>
      <c r="B50" s="5">
        <v>44546</v>
      </c>
      <c r="C50">
        <v>16</v>
      </c>
      <c r="D50" t="s">
        <v>20</v>
      </c>
      <c r="E50">
        <v>2021</v>
      </c>
      <c r="F50">
        <v>33</v>
      </c>
      <c r="G50" s="2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7" t="s">
        <v>43</v>
      </c>
      <c r="N50">
        <v>2</v>
      </c>
      <c r="O50" s="8">
        <v>1252</v>
      </c>
      <c r="P50" s="8">
        <v>2295</v>
      </c>
      <c r="Q50" s="8">
        <v>2086</v>
      </c>
      <c r="R50" s="8">
        <f t="shared" si="0"/>
        <v>2504</v>
      </c>
      <c r="S50" s="8">
        <f t="shared" si="1"/>
        <v>4590</v>
      </c>
    </row>
    <row r="51" spans="1:19">
      <c r="A51" s="4" t="s">
        <v>107</v>
      </c>
      <c r="B51" s="5">
        <v>44546</v>
      </c>
      <c r="C51">
        <v>16</v>
      </c>
      <c r="D51" t="s">
        <v>20</v>
      </c>
      <c r="E51">
        <v>2021</v>
      </c>
      <c r="F51">
        <v>38</v>
      </c>
      <c r="G51" s="2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7" t="s">
        <v>43</v>
      </c>
      <c r="N51">
        <v>2</v>
      </c>
      <c r="O51" s="8">
        <v>1252</v>
      </c>
      <c r="P51" s="8">
        <v>2295</v>
      </c>
      <c r="Q51" s="8">
        <v>2086</v>
      </c>
      <c r="R51" s="8">
        <f t="shared" si="0"/>
        <v>2504</v>
      </c>
      <c r="S51" s="8">
        <f t="shared" si="1"/>
        <v>4590</v>
      </c>
    </row>
    <row r="52" spans="1:19">
      <c r="A52" s="4" t="s">
        <v>108</v>
      </c>
      <c r="B52" s="5">
        <v>44546</v>
      </c>
      <c r="C52">
        <v>16</v>
      </c>
      <c r="D52" t="s">
        <v>20</v>
      </c>
      <c r="E52">
        <v>2021</v>
      </c>
      <c r="F52">
        <v>27</v>
      </c>
      <c r="G52" s="2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7" t="s">
        <v>110</v>
      </c>
      <c r="N52">
        <v>1</v>
      </c>
      <c r="O52" s="8">
        <v>1266</v>
      </c>
      <c r="P52" s="8">
        <v>2320</v>
      </c>
      <c r="Q52" s="8">
        <v>1054</v>
      </c>
      <c r="R52" s="8">
        <f t="shared" si="0"/>
        <v>1266</v>
      </c>
      <c r="S52" s="8">
        <f t="shared" si="1"/>
        <v>2320</v>
      </c>
    </row>
    <row r="53" spans="1:19">
      <c r="A53" s="4" t="s">
        <v>111</v>
      </c>
      <c r="B53" s="5">
        <v>44547</v>
      </c>
      <c r="C53">
        <v>17</v>
      </c>
      <c r="D53" t="s">
        <v>20</v>
      </c>
      <c r="E53">
        <v>2021</v>
      </c>
      <c r="F53">
        <v>37</v>
      </c>
      <c r="G53" s="2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7" t="s">
        <v>53</v>
      </c>
      <c r="N53">
        <v>2</v>
      </c>
      <c r="O53" s="8">
        <v>1266</v>
      </c>
      <c r="P53" s="8">
        <v>2320</v>
      </c>
      <c r="Q53" s="8">
        <v>2108</v>
      </c>
      <c r="R53" s="8">
        <f t="shared" si="0"/>
        <v>2532</v>
      </c>
      <c r="S53" s="8">
        <f t="shared" si="1"/>
        <v>4640</v>
      </c>
    </row>
    <row r="54" spans="1:19">
      <c r="A54" s="4" t="s">
        <v>112</v>
      </c>
      <c r="B54" s="5">
        <v>44547</v>
      </c>
      <c r="C54">
        <v>17</v>
      </c>
      <c r="D54" t="s">
        <v>20</v>
      </c>
      <c r="E54">
        <v>2021</v>
      </c>
      <c r="F54">
        <v>31</v>
      </c>
      <c r="G54" s="2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7" t="s">
        <v>39</v>
      </c>
      <c r="N54">
        <v>1</v>
      </c>
      <c r="O54" s="8">
        <v>420</v>
      </c>
      <c r="P54" s="8">
        <v>769</v>
      </c>
      <c r="Q54" s="8">
        <v>349</v>
      </c>
      <c r="R54" s="8">
        <f t="shared" si="0"/>
        <v>420</v>
      </c>
      <c r="S54" s="8">
        <f t="shared" si="1"/>
        <v>769</v>
      </c>
    </row>
    <row r="55" spans="1:19">
      <c r="A55" s="4" t="s">
        <v>113</v>
      </c>
      <c r="B55" s="5">
        <v>44547</v>
      </c>
      <c r="C55">
        <v>17</v>
      </c>
      <c r="D55" t="s">
        <v>20</v>
      </c>
      <c r="E55">
        <v>2021</v>
      </c>
      <c r="F55">
        <v>42</v>
      </c>
      <c r="G55" s="2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7" t="s">
        <v>110</v>
      </c>
      <c r="N55">
        <v>1</v>
      </c>
      <c r="O55" s="8">
        <v>1266</v>
      </c>
      <c r="P55" s="8">
        <v>2320</v>
      </c>
      <c r="Q55" s="8">
        <v>1054</v>
      </c>
      <c r="R55" s="8">
        <f t="shared" si="0"/>
        <v>1266</v>
      </c>
      <c r="S55" s="8">
        <f t="shared" si="1"/>
        <v>2320</v>
      </c>
    </row>
    <row r="56" spans="1:19">
      <c r="A56" s="4" t="s">
        <v>114</v>
      </c>
      <c r="B56" s="5">
        <v>44548</v>
      </c>
      <c r="C56">
        <v>18</v>
      </c>
      <c r="D56" t="s">
        <v>20</v>
      </c>
      <c r="E56">
        <v>2021</v>
      </c>
      <c r="F56">
        <v>35</v>
      </c>
      <c r="G56" s="2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7" t="s">
        <v>66</v>
      </c>
      <c r="N56">
        <v>4</v>
      </c>
      <c r="O56" s="8">
        <v>308</v>
      </c>
      <c r="P56" s="8">
        <v>565</v>
      </c>
      <c r="Q56" s="8">
        <v>1028</v>
      </c>
      <c r="R56" s="8">
        <f t="shared" si="0"/>
        <v>1232</v>
      </c>
      <c r="S56" s="8">
        <f t="shared" si="1"/>
        <v>2260</v>
      </c>
    </row>
    <row r="57" spans="1:19">
      <c r="A57" s="4" t="s">
        <v>115</v>
      </c>
      <c r="B57" s="5">
        <v>44548</v>
      </c>
      <c r="C57">
        <v>18</v>
      </c>
      <c r="D57" t="s">
        <v>20</v>
      </c>
      <c r="E57">
        <v>2021</v>
      </c>
      <c r="F57">
        <v>38</v>
      </c>
      <c r="G57" s="2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7" t="s">
        <v>110</v>
      </c>
      <c r="N57">
        <v>4</v>
      </c>
      <c r="O57" s="8">
        <v>1266</v>
      </c>
      <c r="P57" s="8">
        <v>2320</v>
      </c>
      <c r="Q57" s="8">
        <v>4216</v>
      </c>
      <c r="R57" s="8">
        <f t="shared" si="0"/>
        <v>5064</v>
      </c>
      <c r="S57" s="8">
        <f t="shared" si="1"/>
        <v>9280</v>
      </c>
    </row>
    <row r="58" spans="1:19">
      <c r="A58" s="4" t="s">
        <v>116</v>
      </c>
      <c r="B58" s="5">
        <v>44548</v>
      </c>
      <c r="C58">
        <v>18</v>
      </c>
      <c r="D58" t="s">
        <v>20</v>
      </c>
      <c r="E58">
        <v>2021</v>
      </c>
      <c r="F58">
        <v>24</v>
      </c>
      <c r="G58" s="2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7" t="s">
        <v>53</v>
      </c>
      <c r="N58">
        <v>3</v>
      </c>
      <c r="O58" s="8">
        <v>1266</v>
      </c>
      <c r="P58" s="8">
        <v>2320</v>
      </c>
      <c r="Q58" s="8">
        <v>3162</v>
      </c>
      <c r="R58" s="8">
        <f t="shared" si="0"/>
        <v>3798</v>
      </c>
      <c r="S58" s="8">
        <f t="shared" si="1"/>
        <v>6960</v>
      </c>
    </row>
    <row r="59" spans="1:19">
      <c r="A59" s="4" t="s">
        <v>118</v>
      </c>
      <c r="B59" s="5">
        <v>44548</v>
      </c>
      <c r="C59">
        <v>18</v>
      </c>
      <c r="D59" t="s">
        <v>20</v>
      </c>
      <c r="E59">
        <v>2021</v>
      </c>
      <c r="F59">
        <v>26</v>
      </c>
      <c r="G59" s="2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7" t="s">
        <v>39</v>
      </c>
      <c r="N59">
        <v>3</v>
      </c>
      <c r="O59" s="8">
        <v>420</v>
      </c>
      <c r="P59" s="8">
        <v>769</v>
      </c>
      <c r="Q59" s="8">
        <v>1047</v>
      </c>
      <c r="R59" s="8">
        <f t="shared" si="0"/>
        <v>1260</v>
      </c>
      <c r="S59" s="8">
        <f t="shared" si="1"/>
        <v>2307</v>
      </c>
    </row>
    <row r="60" spans="1:19">
      <c r="A60" s="4" t="s">
        <v>119</v>
      </c>
      <c r="B60" s="5">
        <v>44548</v>
      </c>
      <c r="C60">
        <v>18</v>
      </c>
      <c r="D60" t="s">
        <v>20</v>
      </c>
      <c r="E60">
        <v>2021</v>
      </c>
      <c r="F60">
        <v>39</v>
      </c>
      <c r="G60" s="2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7" t="s">
        <v>60</v>
      </c>
      <c r="N60">
        <v>3</v>
      </c>
      <c r="O60" s="8">
        <v>1252</v>
      </c>
      <c r="P60" s="8">
        <v>2295</v>
      </c>
      <c r="Q60" s="8">
        <v>3129</v>
      </c>
      <c r="R60" s="8">
        <f t="shared" si="0"/>
        <v>3756</v>
      </c>
      <c r="S60" s="8">
        <f t="shared" si="1"/>
        <v>6885</v>
      </c>
    </row>
    <row r="61" spans="1:19">
      <c r="A61" s="4" t="s">
        <v>120</v>
      </c>
      <c r="B61" s="5">
        <v>44548</v>
      </c>
      <c r="C61">
        <v>18</v>
      </c>
      <c r="D61" t="s">
        <v>20</v>
      </c>
      <c r="E61">
        <v>2021</v>
      </c>
      <c r="F61">
        <v>26</v>
      </c>
      <c r="G61" s="2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7" t="s">
        <v>27</v>
      </c>
      <c r="N61">
        <v>1</v>
      </c>
      <c r="O61" s="8">
        <v>1252</v>
      </c>
      <c r="P61" s="8">
        <v>2295</v>
      </c>
      <c r="Q61" s="8">
        <v>1043</v>
      </c>
      <c r="R61" s="8">
        <f t="shared" si="0"/>
        <v>1252</v>
      </c>
      <c r="S61" s="8">
        <f t="shared" si="1"/>
        <v>2295</v>
      </c>
    </row>
    <row r="62" spans="1:19">
      <c r="A62" s="4" t="s">
        <v>121</v>
      </c>
      <c r="B62" s="5">
        <v>44548</v>
      </c>
      <c r="C62">
        <v>18</v>
      </c>
      <c r="D62" t="s">
        <v>20</v>
      </c>
      <c r="E62">
        <v>2021</v>
      </c>
      <c r="F62">
        <v>36</v>
      </c>
      <c r="G62" s="2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7" t="s">
        <v>53</v>
      </c>
      <c r="N62">
        <v>1</v>
      </c>
      <c r="O62" s="8">
        <v>1266</v>
      </c>
      <c r="P62" s="8">
        <v>2320</v>
      </c>
      <c r="Q62" s="8">
        <v>1054</v>
      </c>
      <c r="R62" s="8">
        <f t="shared" si="0"/>
        <v>1266</v>
      </c>
      <c r="S62" s="8">
        <f t="shared" si="1"/>
        <v>2320</v>
      </c>
    </row>
    <row r="63" spans="1:19">
      <c r="A63" s="4" t="s">
        <v>122</v>
      </c>
      <c r="B63" s="5">
        <v>44549</v>
      </c>
      <c r="C63">
        <v>19</v>
      </c>
      <c r="D63" t="s">
        <v>20</v>
      </c>
      <c r="E63">
        <v>2021</v>
      </c>
      <c r="F63">
        <v>17</v>
      </c>
      <c r="G63" s="2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7" t="s">
        <v>110</v>
      </c>
      <c r="N63">
        <v>4</v>
      </c>
      <c r="O63" s="8">
        <v>1266</v>
      </c>
      <c r="P63" s="8">
        <v>2320</v>
      </c>
      <c r="Q63" s="8">
        <v>4216</v>
      </c>
      <c r="R63" s="8">
        <f t="shared" si="0"/>
        <v>5064</v>
      </c>
      <c r="S63" s="8">
        <f t="shared" si="1"/>
        <v>9280</v>
      </c>
    </row>
    <row r="64" spans="1:19">
      <c r="A64" s="4" t="s">
        <v>124</v>
      </c>
      <c r="B64" s="5">
        <v>44549</v>
      </c>
      <c r="C64">
        <v>19</v>
      </c>
      <c r="D64" t="s">
        <v>20</v>
      </c>
      <c r="E64">
        <v>2021</v>
      </c>
      <c r="F64">
        <v>19</v>
      </c>
      <c r="G64" s="2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7" t="s">
        <v>125</v>
      </c>
      <c r="N64">
        <v>4</v>
      </c>
      <c r="O64" s="8">
        <v>295</v>
      </c>
      <c r="P64" s="8">
        <v>540</v>
      </c>
      <c r="Q64" s="8">
        <v>980</v>
      </c>
      <c r="R64" s="8">
        <f t="shared" si="0"/>
        <v>1180</v>
      </c>
      <c r="S64" s="8">
        <f t="shared" si="1"/>
        <v>2160</v>
      </c>
    </row>
    <row r="65" spans="1:19">
      <c r="A65" s="4" t="s">
        <v>126</v>
      </c>
      <c r="B65" s="5">
        <v>44549</v>
      </c>
      <c r="C65">
        <v>19</v>
      </c>
      <c r="D65" t="s">
        <v>20</v>
      </c>
      <c r="E65">
        <v>2021</v>
      </c>
      <c r="F65">
        <v>25</v>
      </c>
      <c r="G65" s="2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7" t="s">
        <v>43</v>
      </c>
      <c r="N65">
        <v>4</v>
      </c>
      <c r="O65" s="8">
        <v>1252</v>
      </c>
      <c r="P65" s="8">
        <v>2295</v>
      </c>
      <c r="Q65" s="8">
        <v>4172</v>
      </c>
      <c r="R65" s="8">
        <f t="shared" si="0"/>
        <v>5008</v>
      </c>
      <c r="S65" s="8">
        <f t="shared" si="1"/>
        <v>9180</v>
      </c>
    </row>
    <row r="66" spans="1:19">
      <c r="A66" s="4" t="s">
        <v>127</v>
      </c>
      <c r="B66" s="5">
        <v>44549</v>
      </c>
      <c r="C66">
        <v>19</v>
      </c>
      <c r="D66" t="s">
        <v>20</v>
      </c>
      <c r="E66">
        <v>2021</v>
      </c>
      <c r="F66">
        <v>35</v>
      </c>
      <c r="G66" s="2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7" t="s">
        <v>128</v>
      </c>
      <c r="N66">
        <v>4</v>
      </c>
      <c r="O66" s="8">
        <v>1898</v>
      </c>
      <c r="P66" s="8">
        <v>3375</v>
      </c>
      <c r="Q66" s="8">
        <v>5908</v>
      </c>
      <c r="R66" s="8">
        <f t="shared" si="0"/>
        <v>7592</v>
      </c>
      <c r="S66" s="8">
        <f t="shared" si="1"/>
        <v>13500</v>
      </c>
    </row>
    <row r="67" spans="1:19">
      <c r="A67" s="4" t="s">
        <v>129</v>
      </c>
      <c r="B67" s="5">
        <v>44549</v>
      </c>
      <c r="C67">
        <v>19</v>
      </c>
      <c r="D67" t="s">
        <v>20</v>
      </c>
      <c r="E67">
        <v>2021</v>
      </c>
      <c r="F67">
        <v>37</v>
      </c>
      <c r="G67" s="2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7" t="s">
        <v>43</v>
      </c>
      <c r="N67">
        <v>4</v>
      </c>
      <c r="O67" s="8">
        <v>1252</v>
      </c>
      <c r="P67" s="8">
        <v>2295</v>
      </c>
      <c r="Q67" s="8">
        <v>4172</v>
      </c>
      <c r="R67" s="8">
        <f t="shared" ref="R67:R89" si="2">N67*O67</f>
        <v>5008</v>
      </c>
      <c r="S67" s="8">
        <f t="shared" ref="S67:S89" si="3">N67*P67</f>
        <v>9180</v>
      </c>
    </row>
    <row r="68" spans="1:19">
      <c r="A68" s="4" t="s">
        <v>130</v>
      </c>
      <c r="B68" s="5">
        <v>44549</v>
      </c>
      <c r="C68">
        <v>19</v>
      </c>
      <c r="D68" t="s">
        <v>20</v>
      </c>
      <c r="E68">
        <v>2021</v>
      </c>
      <c r="F68">
        <v>39</v>
      </c>
      <c r="G68" s="2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7" t="s">
        <v>27</v>
      </c>
      <c r="N68">
        <v>4</v>
      </c>
      <c r="O68" s="8">
        <v>1252</v>
      </c>
      <c r="P68" s="8">
        <v>2295</v>
      </c>
      <c r="Q68" s="8">
        <v>4172</v>
      </c>
      <c r="R68" s="8">
        <f t="shared" si="2"/>
        <v>5008</v>
      </c>
      <c r="S68" s="8">
        <f t="shared" si="3"/>
        <v>9180</v>
      </c>
    </row>
    <row r="69" spans="1:19">
      <c r="A69" s="4" t="s">
        <v>131</v>
      </c>
      <c r="B69" s="5">
        <v>44549</v>
      </c>
      <c r="C69">
        <v>19</v>
      </c>
      <c r="D69" t="s">
        <v>20</v>
      </c>
      <c r="E69">
        <v>2021</v>
      </c>
      <c r="F69">
        <v>63</v>
      </c>
      <c r="G69" s="2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7" t="s">
        <v>27</v>
      </c>
      <c r="N69">
        <v>4</v>
      </c>
      <c r="O69" s="8">
        <v>1252</v>
      </c>
      <c r="P69" s="8">
        <v>2295</v>
      </c>
      <c r="Q69" s="8">
        <v>4172</v>
      </c>
      <c r="R69" s="8">
        <f t="shared" si="2"/>
        <v>5008</v>
      </c>
      <c r="S69" s="8">
        <f t="shared" si="3"/>
        <v>9180</v>
      </c>
    </row>
    <row r="70" spans="1:19">
      <c r="A70" s="4" t="s">
        <v>132</v>
      </c>
      <c r="B70" s="5">
        <v>44549</v>
      </c>
      <c r="C70">
        <v>19</v>
      </c>
      <c r="D70" t="s">
        <v>20</v>
      </c>
      <c r="E70">
        <v>2021</v>
      </c>
      <c r="F70">
        <v>18</v>
      </c>
      <c r="G70" s="2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7" t="s">
        <v>81</v>
      </c>
      <c r="N70">
        <v>2</v>
      </c>
      <c r="O70" s="8">
        <v>295</v>
      </c>
      <c r="P70" s="8">
        <v>540</v>
      </c>
      <c r="Q70" s="8">
        <v>490</v>
      </c>
      <c r="R70" s="8">
        <f t="shared" si="2"/>
        <v>590</v>
      </c>
      <c r="S70" s="8">
        <f t="shared" si="3"/>
        <v>1080</v>
      </c>
    </row>
    <row r="71" spans="1:19">
      <c r="A71" s="4" t="s">
        <v>134</v>
      </c>
      <c r="B71" s="5">
        <v>44549</v>
      </c>
      <c r="C71">
        <v>19</v>
      </c>
      <c r="D71" t="s">
        <v>20</v>
      </c>
      <c r="E71">
        <v>2021</v>
      </c>
      <c r="F71">
        <v>56</v>
      </c>
      <c r="G71" s="2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7" t="s">
        <v>27</v>
      </c>
      <c r="N71">
        <v>2</v>
      </c>
      <c r="O71" s="8">
        <v>1252</v>
      </c>
      <c r="P71" s="8">
        <v>2295</v>
      </c>
      <c r="Q71" s="8">
        <v>2086</v>
      </c>
      <c r="R71" s="8">
        <f t="shared" si="2"/>
        <v>2504</v>
      </c>
      <c r="S71" s="8">
        <f t="shared" si="3"/>
        <v>4590</v>
      </c>
    </row>
    <row r="72" spans="1:19">
      <c r="A72" s="4" t="s">
        <v>136</v>
      </c>
      <c r="B72" s="5">
        <v>44549</v>
      </c>
      <c r="C72">
        <v>19</v>
      </c>
      <c r="D72" t="s">
        <v>20</v>
      </c>
      <c r="E72">
        <v>2021</v>
      </c>
      <c r="F72">
        <v>39</v>
      </c>
      <c r="G72" s="2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7" t="s">
        <v>53</v>
      </c>
      <c r="N72">
        <v>11</v>
      </c>
      <c r="O72" s="8">
        <v>1266</v>
      </c>
      <c r="P72" s="8">
        <v>2320</v>
      </c>
      <c r="Q72" s="8">
        <v>1054</v>
      </c>
      <c r="R72" s="8">
        <f t="shared" si="2"/>
        <v>13926</v>
      </c>
      <c r="S72" s="8">
        <f t="shared" si="3"/>
        <v>25520</v>
      </c>
    </row>
    <row r="73" spans="1:19">
      <c r="A73" s="4" t="s">
        <v>137</v>
      </c>
      <c r="B73" s="5">
        <v>44550</v>
      </c>
      <c r="C73">
        <v>20</v>
      </c>
      <c r="D73" t="s">
        <v>20</v>
      </c>
      <c r="E73">
        <v>2021</v>
      </c>
      <c r="F73">
        <v>33</v>
      </c>
      <c r="G73" s="2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7" t="s">
        <v>74</v>
      </c>
      <c r="N73">
        <v>4</v>
      </c>
      <c r="O73" s="8">
        <v>1898</v>
      </c>
      <c r="P73" s="8">
        <v>3375</v>
      </c>
      <c r="Q73" s="8">
        <v>5908</v>
      </c>
      <c r="R73" s="8">
        <f t="shared" si="2"/>
        <v>7592</v>
      </c>
      <c r="S73" s="8">
        <f t="shared" si="3"/>
        <v>13500</v>
      </c>
    </row>
    <row r="74" spans="1:19">
      <c r="A74" s="4" t="s">
        <v>138</v>
      </c>
      <c r="B74" s="5">
        <v>44550</v>
      </c>
      <c r="C74">
        <v>20</v>
      </c>
      <c r="D74" t="s">
        <v>20</v>
      </c>
      <c r="E74">
        <v>2021</v>
      </c>
      <c r="F74">
        <v>57</v>
      </c>
      <c r="G74" s="2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7" t="s">
        <v>27</v>
      </c>
      <c r="N74">
        <v>4</v>
      </c>
      <c r="O74" s="8">
        <v>1252</v>
      </c>
      <c r="P74" s="8">
        <v>2295</v>
      </c>
      <c r="Q74" s="8">
        <v>4172</v>
      </c>
      <c r="R74" s="8">
        <f t="shared" si="2"/>
        <v>5008</v>
      </c>
      <c r="S74" s="8">
        <f t="shared" si="3"/>
        <v>9180</v>
      </c>
    </row>
    <row r="75" spans="1:19">
      <c r="A75" s="4" t="s">
        <v>139</v>
      </c>
      <c r="B75" s="5">
        <v>44550</v>
      </c>
      <c r="C75">
        <v>20</v>
      </c>
      <c r="D75" t="s">
        <v>20</v>
      </c>
      <c r="E75">
        <v>2021</v>
      </c>
      <c r="F75">
        <v>29</v>
      </c>
      <c r="G75" s="2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7" t="s">
        <v>140</v>
      </c>
      <c r="N75">
        <v>3</v>
      </c>
      <c r="O75" s="8">
        <v>295</v>
      </c>
      <c r="P75" s="8">
        <v>540</v>
      </c>
      <c r="Q75" s="8">
        <v>735</v>
      </c>
      <c r="R75" s="8">
        <f t="shared" si="2"/>
        <v>885</v>
      </c>
      <c r="S75" s="8">
        <f t="shared" si="3"/>
        <v>1620</v>
      </c>
    </row>
    <row r="76" spans="1:19">
      <c r="A76" s="4" t="s">
        <v>141</v>
      </c>
      <c r="B76" s="5">
        <v>44550</v>
      </c>
      <c r="C76">
        <v>20</v>
      </c>
      <c r="D76" t="s">
        <v>20</v>
      </c>
      <c r="E76">
        <v>2021</v>
      </c>
      <c r="F76">
        <v>35</v>
      </c>
      <c r="G76" s="2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7" t="s">
        <v>53</v>
      </c>
      <c r="N76">
        <v>1</v>
      </c>
      <c r="O76" s="8">
        <v>1266</v>
      </c>
      <c r="P76" s="8">
        <v>2320</v>
      </c>
      <c r="Q76" s="8">
        <v>1054</v>
      </c>
      <c r="R76" s="8">
        <f t="shared" si="2"/>
        <v>1266</v>
      </c>
      <c r="S76" s="8">
        <f t="shared" si="3"/>
        <v>2320</v>
      </c>
    </row>
    <row r="77" spans="1:19">
      <c r="A77" s="4" t="s">
        <v>142</v>
      </c>
      <c r="B77" s="5">
        <v>44550</v>
      </c>
      <c r="C77">
        <v>20</v>
      </c>
      <c r="D77" t="s">
        <v>20</v>
      </c>
      <c r="E77">
        <v>2021</v>
      </c>
      <c r="F77">
        <v>35</v>
      </c>
      <c r="G77" s="2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7" t="s">
        <v>53</v>
      </c>
      <c r="N77">
        <v>1</v>
      </c>
      <c r="O77" s="8">
        <v>1266</v>
      </c>
      <c r="P77" s="8">
        <v>2320</v>
      </c>
      <c r="Q77" s="8">
        <v>1054</v>
      </c>
      <c r="R77" s="8">
        <f t="shared" si="2"/>
        <v>1266</v>
      </c>
      <c r="S77" s="8">
        <f t="shared" si="3"/>
        <v>2320</v>
      </c>
    </row>
    <row r="78" spans="1:19">
      <c r="A78" s="4" t="s">
        <v>143</v>
      </c>
      <c r="B78" s="5">
        <v>44551</v>
      </c>
      <c r="C78">
        <v>21</v>
      </c>
      <c r="D78" t="s">
        <v>20</v>
      </c>
      <c r="E78">
        <v>2021</v>
      </c>
      <c r="F78">
        <v>26</v>
      </c>
      <c r="G78" s="2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7" t="s">
        <v>53</v>
      </c>
      <c r="N78">
        <v>3</v>
      </c>
      <c r="O78" s="8">
        <v>1266</v>
      </c>
      <c r="P78" s="8">
        <v>2320</v>
      </c>
      <c r="Q78" s="8">
        <v>3162</v>
      </c>
      <c r="R78" s="8">
        <f t="shared" si="2"/>
        <v>3798</v>
      </c>
      <c r="S78" s="8">
        <f t="shared" si="3"/>
        <v>6960</v>
      </c>
    </row>
    <row r="79" spans="1:19">
      <c r="A79" s="4" t="s">
        <v>145</v>
      </c>
      <c r="B79" s="5">
        <v>44551</v>
      </c>
      <c r="C79">
        <v>21</v>
      </c>
      <c r="D79" t="s">
        <v>20</v>
      </c>
      <c r="E79">
        <v>2021</v>
      </c>
      <c r="F79">
        <v>23</v>
      </c>
      <c r="G79" s="2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7" t="s">
        <v>34</v>
      </c>
      <c r="N79">
        <v>2</v>
      </c>
      <c r="O79" s="8">
        <v>420</v>
      </c>
      <c r="P79" s="8">
        <v>769</v>
      </c>
      <c r="Q79" s="8">
        <v>698</v>
      </c>
      <c r="R79" s="8">
        <f t="shared" si="2"/>
        <v>840</v>
      </c>
      <c r="S79" s="8">
        <f t="shared" si="3"/>
        <v>1538</v>
      </c>
    </row>
    <row r="80" spans="1:19">
      <c r="A80" s="4" t="s">
        <v>146</v>
      </c>
      <c r="B80" s="5">
        <v>44552</v>
      </c>
      <c r="C80">
        <v>22</v>
      </c>
      <c r="D80" t="s">
        <v>20</v>
      </c>
      <c r="E80">
        <v>2021</v>
      </c>
      <c r="F80">
        <v>30</v>
      </c>
      <c r="G80" s="2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7" t="s">
        <v>53</v>
      </c>
      <c r="N80">
        <v>3</v>
      </c>
      <c r="O80" s="8">
        <v>1266</v>
      </c>
      <c r="P80" s="8">
        <v>2320</v>
      </c>
      <c r="Q80" s="8">
        <v>3162</v>
      </c>
      <c r="R80" s="8">
        <f t="shared" si="2"/>
        <v>3798</v>
      </c>
      <c r="S80" s="8">
        <f t="shared" si="3"/>
        <v>6960</v>
      </c>
    </row>
    <row r="81" spans="1:19">
      <c r="A81" s="4" t="s">
        <v>147</v>
      </c>
      <c r="B81" s="5">
        <v>44552</v>
      </c>
      <c r="C81">
        <v>22</v>
      </c>
      <c r="D81" t="s">
        <v>20</v>
      </c>
      <c r="E81">
        <v>2021</v>
      </c>
      <c r="F81">
        <v>41</v>
      </c>
      <c r="G81" s="2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7" t="s">
        <v>60</v>
      </c>
      <c r="N81">
        <v>3</v>
      </c>
      <c r="O81" s="8">
        <v>1252</v>
      </c>
      <c r="P81" s="8">
        <v>2295</v>
      </c>
      <c r="Q81" s="8">
        <v>3129</v>
      </c>
      <c r="R81" s="8">
        <f t="shared" si="2"/>
        <v>3756</v>
      </c>
      <c r="S81" s="8">
        <f t="shared" si="3"/>
        <v>6885</v>
      </c>
    </row>
    <row r="82" spans="1:19">
      <c r="A82" s="4" t="s">
        <v>148</v>
      </c>
      <c r="B82" s="5">
        <v>44552</v>
      </c>
      <c r="C82">
        <v>22</v>
      </c>
      <c r="D82" t="s">
        <v>20</v>
      </c>
      <c r="E82">
        <v>2021</v>
      </c>
      <c r="F82">
        <v>19</v>
      </c>
      <c r="G82" s="2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7" t="s">
        <v>66</v>
      </c>
      <c r="N82">
        <v>1</v>
      </c>
      <c r="O82" s="8">
        <v>308</v>
      </c>
      <c r="P82" s="8">
        <v>565</v>
      </c>
      <c r="Q82" s="8">
        <v>257</v>
      </c>
      <c r="R82" s="8">
        <f t="shared" si="2"/>
        <v>308</v>
      </c>
      <c r="S82" s="8">
        <f t="shared" si="3"/>
        <v>565</v>
      </c>
    </row>
    <row r="83" spans="1:19">
      <c r="A83" s="4" t="s">
        <v>149</v>
      </c>
      <c r="B83" s="5">
        <v>44552</v>
      </c>
      <c r="C83">
        <v>22</v>
      </c>
      <c r="D83" t="s">
        <v>20</v>
      </c>
      <c r="E83">
        <v>2021</v>
      </c>
      <c r="F83">
        <v>25</v>
      </c>
      <c r="G83" s="2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7" t="s">
        <v>43</v>
      </c>
      <c r="N83">
        <v>1</v>
      </c>
      <c r="O83" s="8">
        <v>1252</v>
      </c>
      <c r="P83" s="8">
        <v>2295</v>
      </c>
      <c r="Q83" s="8">
        <v>1043</v>
      </c>
      <c r="R83" s="8">
        <f t="shared" si="2"/>
        <v>1252</v>
      </c>
      <c r="S83" s="8">
        <f t="shared" si="3"/>
        <v>2295</v>
      </c>
    </row>
    <row r="84" spans="1:19">
      <c r="A84" s="4" t="s">
        <v>150</v>
      </c>
      <c r="B84" s="5">
        <v>44552</v>
      </c>
      <c r="C84">
        <v>22</v>
      </c>
      <c r="D84" t="s">
        <v>20</v>
      </c>
      <c r="E84">
        <v>2021</v>
      </c>
      <c r="F84">
        <v>27</v>
      </c>
      <c r="G84" s="2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7" t="s">
        <v>27</v>
      </c>
      <c r="N84">
        <v>1</v>
      </c>
      <c r="O84" s="8">
        <v>1252</v>
      </c>
      <c r="P84" s="8">
        <v>2295</v>
      </c>
      <c r="Q84" s="8">
        <v>1043</v>
      </c>
      <c r="R84" s="8">
        <f t="shared" si="2"/>
        <v>1252</v>
      </c>
      <c r="S84" s="8">
        <f t="shared" si="3"/>
        <v>2295</v>
      </c>
    </row>
    <row r="85" spans="1:19">
      <c r="A85" s="4" t="s">
        <v>151</v>
      </c>
      <c r="B85" s="5">
        <v>44552</v>
      </c>
      <c r="C85">
        <v>22</v>
      </c>
      <c r="D85" t="s">
        <v>20</v>
      </c>
      <c r="E85">
        <v>2021</v>
      </c>
      <c r="F85">
        <v>41</v>
      </c>
      <c r="G85" s="2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7" t="s">
        <v>53</v>
      </c>
      <c r="N85">
        <v>1</v>
      </c>
      <c r="O85" s="8">
        <v>1266</v>
      </c>
      <c r="P85" s="8">
        <v>2320</v>
      </c>
      <c r="Q85" s="8">
        <v>1054</v>
      </c>
      <c r="R85" s="8">
        <f t="shared" si="2"/>
        <v>1266</v>
      </c>
      <c r="S85" s="8">
        <f t="shared" si="3"/>
        <v>2320</v>
      </c>
    </row>
    <row r="86" spans="1:19">
      <c r="A86" s="4" t="s">
        <v>152</v>
      </c>
      <c r="B86" s="5">
        <v>44553</v>
      </c>
      <c r="C86">
        <v>23</v>
      </c>
      <c r="D86" t="s">
        <v>20</v>
      </c>
      <c r="E86">
        <v>2021</v>
      </c>
      <c r="F86">
        <v>30</v>
      </c>
      <c r="G86" s="2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7" t="s">
        <v>32</v>
      </c>
      <c r="N86">
        <v>1</v>
      </c>
      <c r="O86" s="8">
        <v>1266</v>
      </c>
      <c r="P86" s="8">
        <v>2320</v>
      </c>
      <c r="Q86" s="8">
        <v>1054</v>
      </c>
      <c r="R86" s="8">
        <f t="shared" si="2"/>
        <v>1266</v>
      </c>
      <c r="S86" s="8">
        <f t="shared" si="3"/>
        <v>2320</v>
      </c>
    </row>
    <row r="87" spans="1:19">
      <c r="A87" s="4" t="s">
        <v>153</v>
      </c>
      <c r="B87" s="5">
        <v>44553</v>
      </c>
      <c r="C87">
        <v>23</v>
      </c>
      <c r="D87" t="s">
        <v>20</v>
      </c>
      <c r="E87">
        <v>2021</v>
      </c>
      <c r="F87">
        <v>31</v>
      </c>
      <c r="G87" s="2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7" t="s">
        <v>60</v>
      </c>
      <c r="N87">
        <v>1</v>
      </c>
      <c r="O87" s="8">
        <v>1252</v>
      </c>
      <c r="P87" s="8">
        <v>2295</v>
      </c>
      <c r="Q87" s="8">
        <v>1043</v>
      </c>
      <c r="R87" s="8">
        <f t="shared" si="2"/>
        <v>1252</v>
      </c>
      <c r="S87" s="8">
        <f t="shared" si="3"/>
        <v>2295</v>
      </c>
    </row>
    <row r="88" spans="1:19">
      <c r="A88" s="4" t="s">
        <v>154</v>
      </c>
      <c r="B88" s="5">
        <v>44553</v>
      </c>
      <c r="C88">
        <v>23</v>
      </c>
      <c r="D88" t="s">
        <v>20</v>
      </c>
      <c r="E88">
        <v>2021</v>
      </c>
      <c r="F88">
        <v>35</v>
      </c>
      <c r="G88" s="2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7" t="s">
        <v>70</v>
      </c>
      <c r="N88">
        <v>1</v>
      </c>
      <c r="O88" s="8">
        <v>295</v>
      </c>
      <c r="P88" s="8">
        <v>540</v>
      </c>
      <c r="Q88" s="8">
        <v>245</v>
      </c>
      <c r="R88" s="8">
        <f t="shared" si="2"/>
        <v>295</v>
      </c>
      <c r="S88" s="8">
        <f t="shared" si="3"/>
        <v>540</v>
      </c>
    </row>
    <row r="89" spans="1:19">
      <c r="A89" s="4" t="s">
        <v>155</v>
      </c>
      <c r="B89" s="5">
        <v>44554</v>
      </c>
      <c r="C89">
        <v>24</v>
      </c>
      <c r="D89" t="s">
        <v>20</v>
      </c>
      <c r="E89">
        <v>2021</v>
      </c>
      <c r="F89">
        <v>38</v>
      </c>
      <c r="G89" s="2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7" t="s">
        <v>60</v>
      </c>
      <c r="N89">
        <v>4</v>
      </c>
      <c r="O89" s="8">
        <v>1252</v>
      </c>
      <c r="P89" s="8">
        <v>2295</v>
      </c>
      <c r="Q89" s="8">
        <v>4172</v>
      </c>
      <c r="R89" s="8">
        <f t="shared" si="2"/>
        <v>5008</v>
      </c>
      <c r="S89" s="8">
        <f t="shared" si="3"/>
        <v>9180</v>
      </c>
    </row>
    <row r="90" spans="15:18">
      <c r="O90">
        <f>AVERAGE((O2:O89))</f>
        <v>1064.20454545455</v>
      </c>
      <c r="P90">
        <f>AVERAGE((P2:P89))</f>
        <v>1945.65909090909</v>
      </c>
      <c r="Q90">
        <f>AVERAGE((Q2:Q89))</f>
        <v>1858.04545454545</v>
      </c>
      <c r="R90">
        <f>_xlfn.STDEV.S(R2:R89)</f>
        <v>2117.377084477</v>
      </c>
    </row>
    <row r="91" spans="15:18">
      <c r="O91" cm="1">
        <f t="array" ref="O91">MODE((O2:O89))</f>
        <v>1252</v>
      </c>
      <c r="P91" cm="1">
        <f t="array" ref="P91">MODE((P2:P89))</f>
        <v>2295</v>
      </c>
      <c r="Q91">
        <f>_xlfn.STDEV.S(Q2:Q89)</f>
        <v>1399.69770881825</v>
      </c>
      <c r="R91">
        <f>AVERAGE(R2:R89)</f>
        <v>2390.72727272727</v>
      </c>
    </row>
    <row r="92" spans="15:16">
      <c r="O92">
        <f>MEDIAN((O2:O89))</f>
        <v>1252</v>
      </c>
      <c r="P92">
        <f>MEDIAN(P2:P89)</f>
        <v>2295</v>
      </c>
    </row>
    <row r="93" spans="15:16">
      <c r="O93">
        <f>_xlfn.STDEV.S(O2:O89)</f>
        <v>428.250360739316</v>
      </c>
      <c r="P93">
        <f>_xlfn.STDEV.S(P2:P89)</f>
        <v>776.031192144216</v>
      </c>
    </row>
  </sheetData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A449075-01A6-451D-9F66-A0FA0F4FD7AF}">
  <ds:schemaRefs/>
</ds:datastoreItem>
</file>

<file path=customXml/itemProps2.xml><?xml version="1.0" encoding="utf-8"?>
<ds:datastoreItem xmlns:ds="http://schemas.openxmlformats.org/officeDocument/2006/customXml" ds:itemID="{38B93B57-25C3-448B-BDF9-E62880BE52EE}">
  <ds:schemaRefs/>
</ds:datastoreItem>
</file>

<file path=customXml/itemProps3.xml><?xml version="1.0" encoding="utf-8"?>
<ds:datastoreItem xmlns:ds="http://schemas.openxmlformats.org/officeDocument/2006/customXml" ds:itemID="{07A2BFF5-7901-4AE1-9EAC-C53400A8AC5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Bike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Pickard, John</dc:creator>
  <cp:lastModifiedBy>WPS_1762169981</cp:lastModifiedBy>
  <dcterms:created xsi:type="dcterms:W3CDTF">2022-11-04T20:14:00Z</dcterms:created>
  <dcterms:modified xsi:type="dcterms:W3CDTF">2025-11-19T19:28:42Z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  <property fmtid="{D5CDD505-2E9C-101B-9397-08002B2CF9AE}" pid="13" name="KSOProductBuildVer">
    <vt:lpwstr>1033-12.2.0.23155</vt:lpwstr>
  </property>
  <property fmtid="{D5CDD505-2E9C-101B-9397-08002B2CF9AE}" pid="14" name="ICV">
    <vt:lpwstr>52F9DE8BD6B0478DB77CED05678C59E7_13</vt:lpwstr>
  </property>
</Properties>
</file>